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tables/table3.xml" ContentType="application/vnd.openxmlformats-officedocument.spreadsheetml.table+xml"/>
  <Override PartName="/xl/pivotTables/pivotTable14.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ramya\Desktop\Yuva\"/>
    </mc:Choice>
  </mc:AlternateContent>
  <xr:revisionPtr revIDLastSave="0" documentId="8_{DD33851C-6E10-43D0-AD3C-4B6FB1F0C1D2}" xr6:coauthVersionLast="47" xr6:coauthVersionMax="47" xr10:uidLastSave="{00000000-0000-0000-0000-000000000000}"/>
  <bookViews>
    <workbookView xWindow="-108" yWindow="-108" windowWidth="23256" windowHeight="12456" firstSheet="8" activeTab="9" xr2:uid="{90BC7575-BA79-4C27-8476-39E5D1957DB0}"/>
  </bookViews>
  <sheets>
    <sheet name="Row Data" sheetId="1" r:id="rId1"/>
    <sheet name="Product Analysis" sheetId="16" r:id="rId2"/>
    <sheet name="Rating Analysis" sheetId="20" r:id="rId3"/>
    <sheet name="Cleaned Data" sheetId="2" r:id="rId4"/>
    <sheet name="EDA" sheetId="3" r:id="rId5"/>
    <sheet name="Pivot Tables" sheetId="7" r:id="rId6"/>
    <sheet name="EDA_2" sheetId="4" r:id="rId7"/>
    <sheet name="Sheet9" sheetId="10" r:id="rId8"/>
    <sheet name="Customer Analysis" sheetId="17" r:id="rId9"/>
    <sheet name="Dashboard" sheetId="11" r:id="rId10"/>
    <sheet name="Detail1" sheetId="14" r:id="rId11"/>
    <sheet name="Forecasting" sheetId="13" r:id="rId12"/>
    <sheet name="Dashboard Data" sheetId="15" r:id="rId13"/>
  </sheets>
  <definedNames>
    <definedName name="Slicer_Age_Group">#N/A</definedName>
    <definedName name="Slicer_Age_Group1">#N/A</definedName>
    <definedName name="Slicer_Category">#N/A</definedName>
    <definedName name="Slicer_Category1">#N/A</definedName>
    <definedName name="Slicer_Channel">#N/A</definedName>
    <definedName name="Slicer_Channel1">#N/A</definedName>
    <definedName name="Slicer_City">#N/A</definedName>
    <definedName name="Slicer_Gender">#N/A</definedName>
    <definedName name="Slicer_Gender1">#N/A</definedName>
  </definedNames>
  <calcPr calcId="191029"/>
  <pivotCaches>
    <pivotCache cacheId="3" r:id="rId14"/>
    <pivotCache cacheId="4" r:id="rId15"/>
    <pivotCache cacheId="18"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15" l="1"/>
  <c r="E3" i="15"/>
  <c r="E2" i="15"/>
  <c r="B7" i="15"/>
  <c r="B6" i="15"/>
  <c r="B5" i="15"/>
  <c r="B4" i="15"/>
  <c r="B3" i="15"/>
  <c r="B2" i="15"/>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AJ14" i="13"/>
  <c r="AJ13" i="13"/>
  <c r="AJ12" i="13"/>
  <c r="AJ11" i="13"/>
  <c r="AJ10" i="13"/>
  <c r="AJ9" i="13"/>
  <c r="AJ8" i="13"/>
  <c r="AJ7" i="13"/>
  <c r="AJ6" i="13"/>
  <c r="AJ5" i="13"/>
  <c r="AJ4" i="13"/>
  <c r="AJ3" i="13"/>
  <c r="AJ2" i="13"/>
  <c r="AI5" i="13"/>
  <c r="AI4" i="13"/>
  <c r="AI3" i="13"/>
  <c r="AI2" i="13"/>
  <c r="AI6" i="13"/>
  <c r="AI7" i="13" s="1"/>
  <c r="AI8" i="13" s="1"/>
  <c r="AI9" i="13" s="1"/>
  <c r="AI10" i="13" s="1"/>
  <c r="AI11" i="13" s="1"/>
  <c r="AI12" i="13" s="1"/>
  <c r="AI13" i="13" s="1"/>
  <c r="AI14" i="13" s="1"/>
  <c r="AH14" i="13"/>
  <c r="AH13" i="13"/>
  <c r="AH12" i="13"/>
  <c r="AH11" i="13"/>
  <c r="AH10" i="13"/>
  <c r="AH9" i="13"/>
  <c r="AH8" i="13"/>
  <c r="AH7" i="13"/>
  <c r="AH6" i="13"/>
  <c r="AH5" i="13"/>
  <c r="AD7" i="13"/>
  <c r="AD3" i="13"/>
  <c r="AD14" i="13"/>
  <c r="AD4" i="13"/>
  <c r="AD5" i="13"/>
  <c r="AD6" i="13"/>
  <c r="AD8" i="13"/>
  <c r="AD9" i="13"/>
  <c r="AD10" i="13"/>
  <c r="AD11" i="13"/>
  <c r="AD12" i="13"/>
  <c r="AD13" i="13"/>
  <c r="AD2" i="13"/>
  <c r="Z14" i="13"/>
  <c r="AC2" i="13"/>
  <c r="AB2" i="13"/>
  <c r="AA2" i="13"/>
  <c r="U3" i="13"/>
  <c r="U2" i="13"/>
  <c r="K15" i="13"/>
  <c r="Q15" i="13"/>
  <c r="N14" i="13"/>
  <c r="Q4" i="13"/>
  <c r="Q5" i="13"/>
  <c r="Q6" i="13"/>
  <c r="Q7" i="13"/>
  <c r="Q8" i="13"/>
  <c r="Q9" i="13"/>
  <c r="Q10" i="13"/>
  <c r="Q11" i="13"/>
  <c r="Q12" i="13"/>
  <c r="Q13" i="13"/>
  <c r="Q3" i="13"/>
  <c r="O3" i="13"/>
  <c r="O4" i="13"/>
  <c r="O5" i="13"/>
  <c r="O6" i="13"/>
  <c r="O7" i="13"/>
  <c r="O8" i="13"/>
  <c r="O9" i="13"/>
  <c r="O10" i="13"/>
  <c r="O11" i="13"/>
  <c r="O12" i="13"/>
  <c r="O13" i="13"/>
  <c r="N2" i="13"/>
  <c r="N4" i="13"/>
  <c r="N5" i="13"/>
  <c r="N6" i="13"/>
  <c r="N7" i="13"/>
  <c r="N8" i="13"/>
  <c r="N9" i="13"/>
  <c r="N10" i="13"/>
  <c r="N11" i="13"/>
  <c r="N12" i="13"/>
  <c r="N13" i="13"/>
  <c r="N3" i="13"/>
  <c r="K6" i="13"/>
  <c r="K7" i="13"/>
  <c r="K8" i="13"/>
  <c r="K9" i="13"/>
  <c r="K10" i="13"/>
  <c r="K11" i="13"/>
  <c r="K12" i="13"/>
  <c r="K13" i="13"/>
  <c r="K5" i="13"/>
  <c r="J6" i="13"/>
  <c r="J7" i="13"/>
  <c r="J8" i="13"/>
  <c r="J9" i="13"/>
  <c r="J10" i="13"/>
  <c r="J11" i="13"/>
  <c r="J12" i="13"/>
  <c r="J13" i="13"/>
  <c r="J5" i="13"/>
  <c r="I6" i="13"/>
  <c r="I7" i="13"/>
  <c r="I8" i="13"/>
  <c r="I9" i="13"/>
  <c r="I10" i="13"/>
  <c r="I11" i="13"/>
  <c r="I12" i="13"/>
  <c r="I13" i="13"/>
  <c r="I5" i="13"/>
  <c r="H14" i="13"/>
  <c r="H6" i="13"/>
  <c r="H7" i="13"/>
  <c r="H8" i="13"/>
  <c r="H9" i="13"/>
  <c r="H10" i="13"/>
  <c r="H11" i="13"/>
  <c r="H12" i="13"/>
  <c r="H13" i="13"/>
  <c r="H5" i="13"/>
  <c r="D6" i="13"/>
  <c r="D7" i="13"/>
  <c r="D8" i="13"/>
  <c r="D9" i="13"/>
  <c r="D10" i="13"/>
  <c r="D11" i="13"/>
  <c r="D12" i="13"/>
  <c r="D13" i="13"/>
  <c r="D14" i="13"/>
  <c r="D5" i="13"/>
  <c r="D4" i="13"/>
  <c r="C7" i="13"/>
  <c r="C8" i="13"/>
  <c r="C9" i="13"/>
  <c r="C10" i="13"/>
  <c r="C11" i="13"/>
  <c r="C12" i="13"/>
  <c r="C13" i="13"/>
  <c r="C14" i="13"/>
  <c r="C4" i="13"/>
  <c r="C6" i="13"/>
  <c r="C5" i="13"/>
  <c r="B21" i="13"/>
  <c r="B20" i="13"/>
  <c r="B19" i="13"/>
  <c r="B18" i="13"/>
  <c r="B17" i="13"/>
  <c r="E8" i="11"/>
  <c r="M3" i="2"/>
  <c r="M2" i="2"/>
  <c r="B8" i="3"/>
  <c r="E4" i="11" s="1"/>
  <c r="B7" i="3"/>
  <c r="E7" i="11" s="1"/>
  <c r="B6" i="3"/>
  <c r="E6" i="11" s="1"/>
  <c r="B5" i="3"/>
  <c r="E5" i="11" s="1"/>
  <c r="B4" i="3"/>
  <c r="B3" i="3"/>
  <c r="E3" i="11" s="1"/>
</calcChain>
</file>

<file path=xl/sharedStrings.xml><?xml version="1.0" encoding="utf-8"?>
<sst xmlns="http://schemas.openxmlformats.org/spreadsheetml/2006/main" count="1779" uniqueCount="126">
  <si>
    <t>Order ID</t>
  </si>
  <si>
    <t>Date</t>
  </si>
  <si>
    <t>City</t>
  </si>
  <si>
    <t>Category</t>
  </si>
  <si>
    <t>Product</t>
  </si>
  <si>
    <t>Age</t>
  </si>
  <si>
    <t>Gender</t>
  </si>
  <si>
    <t>Sales</t>
  </si>
  <si>
    <t>Quantity</t>
  </si>
  <si>
    <t>Channel</t>
  </si>
  <si>
    <t>Payment Mode</t>
  </si>
  <si>
    <t>Rating</t>
  </si>
  <si>
    <t>Bengaluru</t>
  </si>
  <si>
    <t>Skincare</t>
  </si>
  <si>
    <t>Face Serum</t>
  </si>
  <si>
    <t>Female</t>
  </si>
  <si>
    <t>Online</t>
  </si>
  <si>
    <t>UPI</t>
  </si>
  <si>
    <t>Mumbai</t>
  </si>
  <si>
    <t>Haircare</t>
  </si>
  <si>
    <t>Shampoo</t>
  </si>
  <si>
    <t>Retail Store</t>
  </si>
  <si>
    <t>Card</t>
  </si>
  <si>
    <t>Delhi</t>
  </si>
  <si>
    <t>Makeup</t>
  </si>
  <si>
    <t>Lipstick</t>
  </si>
  <si>
    <t>Wellness</t>
  </si>
  <si>
    <t>Vitamin Pack</t>
  </si>
  <si>
    <t>Male</t>
  </si>
  <si>
    <t>Pune</t>
  </si>
  <si>
    <t>Fragrance</t>
  </si>
  <si>
    <t>Perfume</t>
  </si>
  <si>
    <t>Wallet</t>
  </si>
  <si>
    <t>Chennai</t>
  </si>
  <si>
    <t>Face Wash</t>
  </si>
  <si>
    <t>Hyderabad</t>
  </si>
  <si>
    <t>Hair Oil</t>
  </si>
  <si>
    <t>Cash</t>
  </si>
  <si>
    <t>Foundation</t>
  </si>
  <si>
    <t>Protein Powder</t>
  </si>
  <si>
    <t>Moisturizer</t>
  </si>
  <si>
    <t>BEAUTY &amp; WELLNESS EXPLORATORY DATA ANALYSIS</t>
  </si>
  <si>
    <t>Total Sales</t>
  </si>
  <si>
    <t>Total Quantity</t>
  </si>
  <si>
    <t>Average Sales</t>
  </si>
  <si>
    <t>Highest Sale</t>
  </si>
  <si>
    <t>Lowest Sale</t>
  </si>
  <si>
    <t>Total Orders</t>
  </si>
  <si>
    <t>Row Labels</t>
  </si>
  <si>
    <t>Grand Total</t>
  </si>
  <si>
    <t>Jan</t>
  </si>
  <si>
    <t>Feb</t>
  </si>
  <si>
    <t>Mar</t>
  </si>
  <si>
    <t>Apr</t>
  </si>
  <si>
    <t>May</t>
  </si>
  <si>
    <t>Jun</t>
  </si>
  <si>
    <t>Jul</t>
  </si>
  <si>
    <t>Aug</t>
  </si>
  <si>
    <t>Sep</t>
  </si>
  <si>
    <t>Oct</t>
  </si>
  <si>
    <t>Nov</t>
  </si>
  <si>
    <t>Dec</t>
  </si>
  <si>
    <t>Sum of Sales</t>
  </si>
  <si>
    <t>Age Group</t>
  </si>
  <si>
    <t>Sales by Age Group</t>
  </si>
  <si>
    <t>18-24</t>
  </si>
  <si>
    <t>25-34</t>
  </si>
  <si>
    <t>35-44</t>
  </si>
  <si>
    <t>45+</t>
  </si>
  <si>
    <t>Sales by Product Category</t>
  </si>
  <si>
    <t>Sales by City</t>
  </si>
  <si>
    <t>Sales by Sales Channel</t>
  </si>
  <si>
    <t>Sales by Gender</t>
  </si>
  <si>
    <t>Monthly Sales Trend</t>
  </si>
  <si>
    <t>Order IDA1:J21</t>
  </si>
  <si>
    <t>Sales by Beauty &amp; Wellness Category</t>
  </si>
  <si>
    <t xml:space="preserve">Monthly Sales Trend </t>
  </si>
  <si>
    <t>Sales Distribution by Channel</t>
  </si>
  <si>
    <t>BEAUTY &amp; WELLNESS SALES ANALYSIS DASHBOARD</t>
  </si>
  <si>
    <t>TOTAL SALES</t>
  </si>
  <si>
    <t>TOTAL ORDERS</t>
  </si>
  <si>
    <t>AVERAGE SALES</t>
  </si>
  <si>
    <t>HIGHEST SALE</t>
  </si>
  <si>
    <t>LOWEST SALE</t>
  </si>
  <si>
    <t>TOTAL QUNTITY</t>
  </si>
  <si>
    <t>Month</t>
  </si>
  <si>
    <t>Monthly salary</t>
  </si>
  <si>
    <t>Average Monthly Sales</t>
  </si>
  <si>
    <t>Highest Monthly Sales</t>
  </si>
  <si>
    <t>Lowest Monthly Sales</t>
  </si>
  <si>
    <t>Highest Sales Month</t>
  </si>
  <si>
    <t>Details for Sum of Sales - Months (Date): Jan</t>
  </si>
  <si>
    <t>Lowest Sales Month</t>
  </si>
  <si>
    <t>Sales Change</t>
  </si>
  <si>
    <t>Percentage Change</t>
  </si>
  <si>
    <t>Actual Sales</t>
  </si>
  <si>
    <t>3-Month Moving Average</t>
  </si>
  <si>
    <t>Forecast Error</t>
  </si>
  <si>
    <t>Absolute Error</t>
  </si>
  <si>
    <t>MAE</t>
  </si>
  <si>
    <t>Exponential Smoothing</t>
  </si>
  <si>
    <t>Alpha</t>
  </si>
  <si>
    <t>Method</t>
  </si>
  <si>
    <t>Jan-2026 Forecast</t>
  </si>
  <si>
    <t>Month Number</t>
  </si>
  <si>
    <t>Slope</t>
  </si>
  <si>
    <t>Intercept</t>
  </si>
  <si>
    <t>R-Squared</t>
  </si>
  <si>
    <t>Regression</t>
  </si>
  <si>
    <t>Moving Average</t>
  </si>
  <si>
    <t>—</t>
  </si>
  <si>
    <t>KPI</t>
  </si>
  <si>
    <t>Average Order Value</t>
  </si>
  <si>
    <t>Average Rating</t>
  </si>
  <si>
    <t>Value</t>
  </si>
  <si>
    <t>Sum of Order IDA1:J21</t>
  </si>
  <si>
    <t>Count of Order IDA1:J21</t>
  </si>
  <si>
    <t>Sum of Quantity</t>
  </si>
  <si>
    <t>City Performance</t>
  </si>
  <si>
    <t>Monthly Sales Performance</t>
  </si>
  <si>
    <t>Analysis</t>
  </si>
  <si>
    <t>Result</t>
  </si>
  <si>
    <t>Highest Sales Product</t>
  </si>
  <si>
    <t>Highest Sales City</t>
  </si>
  <si>
    <t>Highest Sales Channel</t>
  </si>
  <si>
    <t>BEAUTY &amp; WELLNESS MANAGEMENT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</si>
</sst>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4" x14ac:knownFonts="1">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40">
    <xf numFmtId="0" fontId="0" fillId="0" borderId="0" xfId="0"/>
    <xf numFmtId="0" fontId="0" fillId="0" borderId="0" xfId="0" applyAlignment="1">
      <alignment vertical="center" wrapText="1"/>
    </xf>
    <xf numFmtId="14" fontId="0" fillId="0" borderId="0" xfId="0" applyNumberFormat="1"/>
    <xf numFmtId="0" fontId="2" fillId="0" borderId="0" xfId="0" applyFont="1" applyAlignment="1">
      <alignment horizontal="center" vertical="center"/>
    </xf>
    <xf numFmtId="0" fontId="2" fillId="0" borderId="0" xfId="0" applyFont="1" applyAlignment="1">
      <alignment horizontal="center" vertical="center" wrapText="1"/>
    </xf>
    <xf numFmtId="0" fontId="0" fillId="2" borderId="1" xfId="0" applyFill="1" applyBorder="1"/>
    <xf numFmtId="0" fontId="0" fillId="2" borderId="2" xfId="0" applyFill="1" applyBorder="1"/>
    <xf numFmtId="0" fontId="0" fillId="0" borderId="1" xfId="0" applyBorder="1"/>
    <xf numFmtId="0" fontId="0" fillId="0" borderId="2" xfId="0" applyBorder="1"/>
    <xf numFmtId="164" fontId="0" fillId="0" borderId="0" xfId="0" applyNumberFormat="1" applyAlignment="1">
      <alignment vertical="center" wrapText="1"/>
    </xf>
    <xf numFmtId="164" fontId="0" fillId="0" borderId="0" xfId="0" applyNumberFormat="1"/>
    <xf numFmtId="14" fontId="0" fillId="2" borderId="1" xfId="0" applyNumberFormat="1" applyFill="1" applyBorder="1"/>
    <xf numFmtId="0" fontId="0" fillId="2" borderId="1" xfId="0" applyFill="1" applyBorder="1" applyAlignment="1">
      <alignment vertical="center" wrapText="1"/>
    </xf>
    <xf numFmtId="164" fontId="0" fillId="2" borderId="1" xfId="0" applyNumberFormat="1" applyFill="1" applyBorder="1" applyAlignment="1">
      <alignment vertical="center" wrapText="1"/>
    </xf>
    <xf numFmtId="0" fontId="0" fillId="2" borderId="2" xfId="0" applyFill="1" applyBorder="1" applyAlignment="1">
      <alignment vertical="center" wrapText="1"/>
    </xf>
    <xf numFmtId="14" fontId="0" fillId="0" borderId="1" xfId="0" applyNumberFormat="1" applyBorder="1"/>
    <xf numFmtId="164" fontId="0" fillId="0" borderId="1" xfId="0" applyNumberFormat="1" applyBorder="1"/>
    <xf numFmtId="164" fontId="0" fillId="2" borderId="1" xfId="0" applyNumberFormat="1" applyFill="1" applyBorder="1"/>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0" fillId="0" borderId="0" xfId="0" applyAlignment="1">
      <alignment horizontal="center" vertical="center" wrapText="1"/>
    </xf>
    <xf numFmtId="0" fontId="0" fillId="0" borderId="0" xfId="0" pivotButton="1"/>
    <xf numFmtId="0" fontId="0" fillId="0" borderId="0" xfId="0" applyAlignment="1">
      <alignment horizontal="left"/>
    </xf>
    <xf numFmtId="0" fontId="2" fillId="0" borderId="0" xfId="0" applyFont="1"/>
    <xf numFmtId="0" fontId="0" fillId="0" borderId="0" xfId="0" applyAlignment="1">
      <alignment horizontal="center"/>
    </xf>
    <xf numFmtId="10" fontId="0" fillId="0" borderId="0" xfId="0" applyNumberFormat="1"/>
    <xf numFmtId="0" fontId="0" fillId="0" borderId="3" xfId="0" applyBorder="1" applyAlignment="1">
      <alignment horizontal="left"/>
    </xf>
    <xf numFmtId="164" fontId="0" fillId="0" borderId="3" xfId="0" applyNumberFormat="1" applyBorder="1"/>
    <xf numFmtId="17" fontId="0" fillId="0" borderId="0" xfId="0" applyNumberFormat="1"/>
    <xf numFmtId="0" fontId="0" fillId="0" borderId="0" xfId="0" applyAlignment="1">
      <alignment horizontal="right" vertical="center" wrapText="1"/>
    </xf>
    <xf numFmtId="0" fontId="2" fillId="0" borderId="0" xfId="0" applyFont="1" applyAlignment="1">
      <alignment horizontal="right" vertical="center" wrapText="1"/>
    </xf>
    <xf numFmtId="3" fontId="0" fillId="0" borderId="0" xfId="0" applyNumberFormat="1" applyAlignment="1">
      <alignment horizontal="right" vertical="center" wrapText="1"/>
    </xf>
    <xf numFmtId="0" fontId="2" fillId="0" borderId="0" xfId="0" applyFont="1" applyAlignment="1">
      <alignment vertical="center" wrapText="1"/>
    </xf>
    <xf numFmtId="17" fontId="0" fillId="0" borderId="0" xfId="0" applyNumberFormat="1" applyAlignment="1">
      <alignment vertical="center" wrapText="1"/>
    </xf>
    <xf numFmtId="0" fontId="2" fillId="0" borderId="0" xfId="0" applyFont="1" applyAlignment="1">
      <alignment horizontal="center"/>
    </xf>
    <xf numFmtId="0" fontId="0" fillId="0" borderId="0" xfId="0" applyAlignment="1">
      <alignment horizontal="center"/>
    </xf>
    <xf numFmtId="164" fontId="0" fillId="0" borderId="0" xfId="0" applyNumberFormat="1" applyAlignment="1">
      <alignment horizontal="center"/>
    </xf>
    <xf numFmtId="0" fontId="0" fillId="0" borderId="0" xfId="0" applyNumberFormat="1"/>
    <xf numFmtId="0" fontId="3" fillId="0" borderId="0" xfId="0" applyFont="1" applyAlignment="1">
      <alignment horizontal="center"/>
    </xf>
  </cellXfs>
  <cellStyles count="1">
    <cellStyle name="Normal" xfId="0" builtinId="0"/>
  </cellStyles>
  <dxfs count="21">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19" formatCode="dd/mm/yyyy"/>
    </dxf>
    <dxf>
      <font>
        <b val="0"/>
        <i val="0"/>
        <strike val="0"/>
        <condense val="0"/>
        <extend val="0"/>
        <outline val="0"/>
        <shadow val="0"/>
        <u val="none"/>
        <vertAlign val="baseline"/>
        <sz val="11"/>
        <color theme="1"/>
        <name val="Calibri"/>
        <family val="2"/>
        <scheme val="minor"/>
      </font>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quot;₹&quot;\ #,##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b val="0"/>
        <i val="0"/>
        <strike val="0"/>
        <condense val="0"/>
        <extend val="0"/>
        <outline val="0"/>
        <shadow val="0"/>
        <u val="none"/>
        <vertAlign val="baseline"/>
        <sz val="11"/>
        <color theme="1"/>
        <name val="Calibri"/>
        <family val="2"/>
        <scheme val="minor"/>
      </font>
    </dxf>
    <dxf>
      <numFmt numFmtId="164" formatCode="&quot;₹&quot;\ #,##0.00"/>
    </dxf>
    <dxf>
      <numFmt numFmtId="19" formatCode="dd/mm/yyyy"/>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1" defaultTableStyle="TableStyleMedium2" defaultPivotStyle="PivotStyleLight16">
    <tableStyle name="Table Style 1" pivot="0" count="0" xr9:uid="{37F98681-F6E6-4B10-BE5D-31514AA8D50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07/relationships/slicerCache" Target="slicerCaches/slicerCache9.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8.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7.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6.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[beauty-wellness-excel-dashboard.xlsx]Product Analysis!PivotTable1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 Analysis'!$B$3</c:f>
              <c:strCache>
                <c:ptCount val="1"/>
                <c:pt idx="0">
                  <c:v>Total</c:v>
                </c:pt>
              </c:strCache>
            </c:strRef>
          </c:tx>
          <c:spPr>
            <a:solidFill>
              <a:schemeClr val="accent1"/>
            </a:solidFill>
            <a:ln>
              <a:noFill/>
            </a:ln>
            <a:effectLst/>
          </c:spPr>
          <c:invertIfNegative val="0"/>
          <c:cat>
            <c:strRef>
              <c:f>'Product Analysis'!$A$4:$A$7</c:f>
              <c:strCache>
                <c:ptCount val="3"/>
                <c:pt idx="0">
                  <c:v>Vitamin Pack</c:v>
                </c:pt>
                <c:pt idx="1">
                  <c:v>Face Serum</c:v>
                </c:pt>
                <c:pt idx="2">
                  <c:v>Foundation</c:v>
                </c:pt>
              </c:strCache>
            </c:strRef>
          </c:cat>
          <c:val>
            <c:numRef>
              <c:f>'Product Analysis'!$B$4:$B$7</c:f>
              <c:numCache>
                <c:formatCode>"₹"\ #,##0.00</c:formatCode>
                <c:ptCount val="3"/>
                <c:pt idx="0">
                  <c:v>38250</c:v>
                </c:pt>
                <c:pt idx="1">
                  <c:v>33300</c:v>
                </c:pt>
                <c:pt idx="2">
                  <c:v>32400</c:v>
                </c:pt>
              </c:numCache>
            </c:numRef>
          </c:val>
          <c:extLst>
            <c:ext xmlns:c16="http://schemas.microsoft.com/office/drawing/2014/chart" uri="{C3380CC4-5D6E-409C-BE32-E72D297353CC}">
              <c16:uniqueId val="{00000000-B0D4-4AEA-A2D0-D4CC2D2BEA39}"/>
            </c:ext>
          </c:extLst>
        </c:ser>
        <c:dLbls>
          <c:showLegendKey val="0"/>
          <c:showVal val="0"/>
          <c:showCatName val="0"/>
          <c:showSerName val="0"/>
          <c:showPercent val="0"/>
          <c:showBubbleSize val="0"/>
        </c:dLbls>
        <c:gapWidth val="150"/>
        <c:overlap val="100"/>
        <c:axId val="867193183"/>
        <c:axId val="821726671"/>
      </c:barChart>
      <c:catAx>
        <c:axId val="8671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26671"/>
        <c:crosses val="autoZero"/>
        <c:auto val="1"/>
        <c:lblAlgn val="ctr"/>
        <c:lblOffset val="100"/>
        <c:noMultiLvlLbl val="0"/>
      </c:catAx>
      <c:valAx>
        <c:axId val="821726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19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[beauty-wellness-excel-dashboard.xlsx]Product 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Bottom 5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 Analysis'!$B$20</c:f>
              <c:strCache>
                <c:ptCount val="1"/>
                <c:pt idx="0">
                  <c:v>Total</c:v>
                </c:pt>
              </c:strCache>
            </c:strRef>
          </c:tx>
          <c:spPr>
            <a:solidFill>
              <a:schemeClr val="accent1"/>
            </a:solidFill>
            <a:ln>
              <a:noFill/>
            </a:ln>
            <a:effectLst/>
          </c:spPr>
          <c:invertIfNegative val="0"/>
          <c:cat>
            <c:strRef>
              <c:f>'Product Analysis'!$A$21:$A$24</c:f>
              <c:strCache>
                <c:ptCount val="3"/>
                <c:pt idx="0">
                  <c:v>Foundation</c:v>
                </c:pt>
                <c:pt idx="1">
                  <c:v>Face Serum</c:v>
                </c:pt>
                <c:pt idx="2">
                  <c:v>Vitamin Pack</c:v>
                </c:pt>
              </c:strCache>
            </c:strRef>
          </c:cat>
          <c:val>
            <c:numRef>
              <c:f>'Product Analysis'!$B$21:$B$24</c:f>
              <c:numCache>
                <c:formatCode>"₹"\ #,##0.00</c:formatCode>
                <c:ptCount val="3"/>
                <c:pt idx="0">
                  <c:v>32400</c:v>
                </c:pt>
                <c:pt idx="1">
                  <c:v>33300</c:v>
                </c:pt>
                <c:pt idx="2">
                  <c:v>38250</c:v>
                </c:pt>
              </c:numCache>
            </c:numRef>
          </c:val>
          <c:extLst>
            <c:ext xmlns:c16="http://schemas.microsoft.com/office/drawing/2014/chart" uri="{C3380CC4-5D6E-409C-BE32-E72D297353CC}">
              <c16:uniqueId val="{00000000-7EB4-44AF-9007-293CA910ABA3}"/>
            </c:ext>
          </c:extLst>
        </c:ser>
        <c:dLbls>
          <c:showLegendKey val="0"/>
          <c:showVal val="0"/>
          <c:showCatName val="0"/>
          <c:showSerName val="0"/>
          <c:showPercent val="0"/>
          <c:showBubbleSize val="0"/>
        </c:dLbls>
        <c:gapWidth val="150"/>
        <c:overlap val="100"/>
        <c:axId val="913195359"/>
        <c:axId val="821718031"/>
      </c:barChart>
      <c:catAx>
        <c:axId val="91319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18031"/>
        <c:crosses val="autoZero"/>
        <c:auto val="1"/>
        <c:lblAlgn val="ctr"/>
        <c:lblOffset val="100"/>
        <c:noMultiLvlLbl val="0"/>
      </c:catAx>
      <c:valAx>
        <c:axId val="821718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19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[beauty-wellness-excel-dashboard.xlsx]Rating Analysis!PivotTable4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Rating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Analysis'!$B$3</c:f>
              <c:strCache>
                <c:ptCount val="1"/>
                <c:pt idx="0">
                  <c:v>Total</c:v>
                </c:pt>
              </c:strCache>
            </c:strRef>
          </c:tx>
          <c:spPr>
            <a:solidFill>
              <a:schemeClr val="accent1"/>
            </a:solidFill>
            <a:ln>
              <a:noFill/>
            </a:ln>
            <a:effectLst/>
          </c:spPr>
          <c:invertIfNegative val="0"/>
          <c:cat>
            <c:strRef>
              <c:f>'Rating Analysis'!$A$4:$A$12</c:f>
              <c:strCache>
                <c:ptCount val="8"/>
                <c:pt idx="0">
                  <c:v>4.2</c:v>
                </c:pt>
                <c:pt idx="1">
                  <c:v>4.3</c:v>
                </c:pt>
                <c:pt idx="2">
                  <c:v>4.5</c:v>
                </c:pt>
                <c:pt idx="3">
                  <c:v>4.6</c:v>
                </c:pt>
                <c:pt idx="4">
                  <c:v>4.7</c:v>
                </c:pt>
                <c:pt idx="5">
                  <c:v>4.8</c:v>
                </c:pt>
                <c:pt idx="6">
                  <c:v>4.9</c:v>
                </c:pt>
                <c:pt idx="7">
                  <c:v>5</c:v>
                </c:pt>
              </c:strCache>
            </c:strRef>
          </c:cat>
          <c:val>
            <c:numRef>
              <c:f>'Rating Analysis'!$B$4:$B$12</c:f>
              <c:numCache>
                <c:formatCode>General</c:formatCode>
                <c:ptCount val="8"/>
                <c:pt idx="0">
                  <c:v>1</c:v>
                </c:pt>
                <c:pt idx="1">
                  <c:v>1</c:v>
                </c:pt>
                <c:pt idx="2">
                  <c:v>3</c:v>
                </c:pt>
                <c:pt idx="3">
                  <c:v>5</c:v>
                </c:pt>
                <c:pt idx="4">
                  <c:v>5</c:v>
                </c:pt>
                <c:pt idx="5">
                  <c:v>4</c:v>
                </c:pt>
                <c:pt idx="6">
                  <c:v>13</c:v>
                </c:pt>
                <c:pt idx="7">
                  <c:v>4</c:v>
                </c:pt>
              </c:numCache>
            </c:numRef>
          </c:val>
          <c:extLst>
            <c:ext xmlns:c16="http://schemas.microsoft.com/office/drawing/2014/chart" uri="{C3380CC4-5D6E-409C-BE32-E72D297353CC}">
              <c16:uniqueId val="{00000000-1528-465A-B3A9-3AFDD98B8440}"/>
            </c:ext>
          </c:extLst>
        </c:ser>
        <c:dLbls>
          <c:showLegendKey val="0"/>
          <c:showVal val="0"/>
          <c:showCatName val="0"/>
          <c:showSerName val="0"/>
          <c:showPercent val="0"/>
          <c:showBubbleSize val="0"/>
        </c:dLbls>
        <c:gapWidth val="219"/>
        <c:overlap val="-27"/>
        <c:axId val="907938639"/>
        <c:axId val="821730031"/>
      </c:barChart>
      <c:catAx>
        <c:axId val="90793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30031"/>
        <c:crosses val="autoZero"/>
        <c:auto val="1"/>
        <c:lblAlgn val="ctr"/>
        <c:lblOffset val="100"/>
        <c:noMultiLvlLbl val="0"/>
      </c:catAx>
      <c:valAx>
        <c:axId val="82173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93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[beauty-wellness-excel-dashboard.xlsx]Rating Analysis!PivotTable5</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Analysis'!$B$21</c:f>
              <c:strCache>
                <c:ptCount val="1"/>
                <c:pt idx="0">
                  <c:v>Sum of Sales</c:v>
                </c:pt>
              </c:strCache>
            </c:strRef>
          </c:tx>
          <c:spPr>
            <a:solidFill>
              <a:schemeClr val="accent1"/>
            </a:solidFill>
            <a:ln>
              <a:noFill/>
            </a:ln>
            <a:effectLst/>
          </c:spPr>
          <c:invertIfNegative val="0"/>
          <c:cat>
            <c:strRef>
              <c:f>'Rating Analysis'!$A$22:$A$24</c:f>
              <c:strCache>
                <c:ptCount val="2"/>
                <c:pt idx="0">
                  <c:v>Online</c:v>
                </c:pt>
                <c:pt idx="1">
                  <c:v>Retail Store</c:v>
                </c:pt>
              </c:strCache>
            </c:strRef>
          </c:cat>
          <c:val>
            <c:numRef>
              <c:f>'Rating Analysis'!$B$22:$B$24</c:f>
              <c:numCache>
                <c:formatCode>"₹"\ #,##0.00</c:formatCode>
                <c:ptCount val="2"/>
                <c:pt idx="0">
                  <c:v>101750</c:v>
                </c:pt>
                <c:pt idx="1">
                  <c:v>2200</c:v>
                </c:pt>
              </c:numCache>
            </c:numRef>
          </c:val>
          <c:extLst>
            <c:ext xmlns:c16="http://schemas.microsoft.com/office/drawing/2014/chart" uri="{C3380CC4-5D6E-409C-BE32-E72D297353CC}">
              <c16:uniqueId val="{00000000-4ECC-4833-BA98-94ACB31B121E}"/>
            </c:ext>
          </c:extLst>
        </c:ser>
        <c:ser>
          <c:idx val="1"/>
          <c:order val="1"/>
          <c:tx>
            <c:strRef>
              <c:f>'Rating Analysis'!$C$21</c:f>
              <c:strCache>
                <c:ptCount val="1"/>
                <c:pt idx="0">
                  <c:v>Count of Order IDA1:J21</c:v>
                </c:pt>
              </c:strCache>
            </c:strRef>
          </c:tx>
          <c:spPr>
            <a:solidFill>
              <a:schemeClr val="accent2"/>
            </a:solidFill>
            <a:ln>
              <a:noFill/>
            </a:ln>
            <a:effectLst/>
          </c:spPr>
          <c:invertIfNegative val="0"/>
          <c:cat>
            <c:strRef>
              <c:f>'Rating Analysis'!$A$22:$A$24</c:f>
              <c:strCache>
                <c:ptCount val="2"/>
                <c:pt idx="0">
                  <c:v>Online</c:v>
                </c:pt>
                <c:pt idx="1">
                  <c:v>Retail Store</c:v>
                </c:pt>
              </c:strCache>
            </c:strRef>
          </c:cat>
          <c:val>
            <c:numRef>
              <c:f>'Rating Analysis'!$C$22:$C$24</c:f>
              <c:numCache>
                <c:formatCode>General</c:formatCode>
                <c:ptCount val="2"/>
                <c:pt idx="0">
                  <c:v>35</c:v>
                </c:pt>
                <c:pt idx="1">
                  <c:v>1</c:v>
                </c:pt>
              </c:numCache>
            </c:numRef>
          </c:val>
          <c:extLst>
            <c:ext xmlns:c16="http://schemas.microsoft.com/office/drawing/2014/chart" uri="{C3380CC4-5D6E-409C-BE32-E72D297353CC}">
              <c16:uniqueId val="{00000001-4ECC-4833-BA98-94ACB31B121E}"/>
            </c:ext>
          </c:extLst>
        </c:ser>
        <c:ser>
          <c:idx val="2"/>
          <c:order val="2"/>
          <c:tx>
            <c:strRef>
              <c:f>'Rating Analysis'!$D$21</c:f>
              <c:strCache>
                <c:ptCount val="1"/>
                <c:pt idx="0">
                  <c:v>Sum of Quantity</c:v>
                </c:pt>
              </c:strCache>
            </c:strRef>
          </c:tx>
          <c:spPr>
            <a:solidFill>
              <a:schemeClr val="accent3"/>
            </a:solidFill>
            <a:ln>
              <a:noFill/>
            </a:ln>
            <a:effectLst/>
          </c:spPr>
          <c:invertIfNegative val="0"/>
          <c:cat>
            <c:strRef>
              <c:f>'Rating Analysis'!$A$22:$A$24</c:f>
              <c:strCache>
                <c:ptCount val="2"/>
                <c:pt idx="0">
                  <c:v>Online</c:v>
                </c:pt>
                <c:pt idx="1">
                  <c:v>Retail Store</c:v>
                </c:pt>
              </c:strCache>
            </c:strRef>
          </c:cat>
          <c:val>
            <c:numRef>
              <c:f>'Rating Analysis'!$D$22:$D$24</c:f>
              <c:numCache>
                <c:formatCode>General</c:formatCode>
                <c:ptCount val="2"/>
                <c:pt idx="0">
                  <c:v>79</c:v>
                </c:pt>
                <c:pt idx="1">
                  <c:v>2</c:v>
                </c:pt>
              </c:numCache>
            </c:numRef>
          </c:val>
          <c:extLst>
            <c:ext xmlns:c16="http://schemas.microsoft.com/office/drawing/2014/chart" uri="{C3380CC4-5D6E-409C-BE32-E72D297353CC}">
              <c16:uniqueId val="{00000002-4ECC-4833-BA98-94ACB31B121E}"/>
            </c:ext>
          </c:extLst>
        </c:ser>
        <c:dLbls>
          <c:showLegendKey val="0"/>
          <c:showVal val="0"/>
          <c:showCatName val="0"/>
          <c:showSerName val="0"/>
          <c:showPercent val="0"/>
          <c:showBubbleSize val="0"/>
        </c:dLbls>
        <c:gapWidth val="219"/>
        <c:overlap val="-27"/>
        <c:axId val="913191183"/>
        <c:axId val="821682511"/>
      </c:barChart>
      <c:catAx>
        <c:axId val="91319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682511"/>
        <c:crosses val="autoZero"/>
        <c:auto val="1"/>
        <c:lblAlgn val="ctr"/>
        <c:lblOffset val="100"/>
        <c:noMultiLvlLbl val="0"/>
      </c:catAx>
      <c:valAx>
        <c:axId val="821682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19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[beauty-wellness-excel-dashboard.xlsx]Rating Analysis!PivotTable6</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'Rating Analysis'!$B$38</c:f>
              <c:strCache>
                <c:ptCount val="1"/>
                <c:pt idx="0">
                  <c:v>Sum of Sales</c:v>
                </c:pt>
              </c:strCache>
            </c:strRef>
          </c:tx>
          <c:spPr>
            <a:solidFill>
              <a:schemeClr val="accent1"/>
            </a:solidFill>
            <a:ln>
              <a:noFill/>
            </a:ln>
            <a:effectLst/>
          </c:spPr>
          <c:invertIfNegative val="0"/>
          <c:cat>
            <c:strRef>
              <c:f>'Rating Analysis'!$A$39:$A$40</c:f>
              <c:strCache>
                <c:ptCount val="1"/>
                <c:pt idx="0">
                  <c:v>Bengaluru</c:v>
                </c:pt>
              </c:strCache>
            </c:strRef>
          </c:cat>
          <c:val>
            <c:numRef>
              <c:f>'Rating Analysis'!$B$39:$B$40</c:f>
              <c:numCache>
                <c:formatCode>"₹"\ #,##0.00</c:formatCode>
                <c:ptCount val="1"/>
                <c:pt idx="0">
                  <c:v>103950</c:v>
                </c:pt>
              </c:numCache>
            </c:numRef>
          </c:val>
          <c:extLst>
            <c:ext xmlns:c16="http://schemas.microsoft.com/office/drawing/2014/chart" uri="{C3380CC4-5D6E-409C-BE32-E72D297353CC}">
              <c16:uniqueId val="{00000000-95EA-485D-BD07-4721AA4F1755}"/>
            </c:ext>
          </c:extLst>
        </c:ser>
        <c:ser>
          <c:idx val="1"/>
          <c:order val="1"/>
          <c:tx>
            <c:strRef>
              <c:f>'Rating Analysis'!$C$38</c:f>
              <c:strCache>
                <c:ptCount val="1"/>
                <c:pt idx="0">
                  <c:v>Count of Order IDA1:J21</c:v>
                </c:pt>
              </c:strCache>
            </c:strRef>
          </c:tx>
          <c:spPr>
            <a:solidFill>
              <a:schemeClr val="accent2"/>
            </a:solidFill>
            <a:ln>
              <a:noFill/>
            </a:ln>
            <a:effectLst/>
          </c:spPr>
          <c:invertIfNegative val="0"/>
          <c:cat>
            <c:strRef>
              <c:f>'Rating Analysis'!$A$39:$A$40</c:f>
              <c:strCache>
                <c:ptCount val="1"/>
                <c:pt idx="0">
                  <c:v>Bengaluru</c:v>
                </c:pt>
              </c:strCache>
            </c:strRef>
          </c:cat>
          <c:val>
            <c:numRef>
              <c:f>'Rating Analysis'!$C$39:$C$40</c:f>
              <c:numCache>
                <c:formatCode>General</c:formatCode>
                <c:ptCount val="1"/>
                <c:pt idx="0">
                  <c:v>36</c:v>
                </c:pt>
              </c:numCache>
            </c:numRef>
          </c:val>
          <c:extLst>
            <c:ext xmlns:c16="http://schemas.microsoft.com/office/drawing/2014/chart" uri="{C3380CC4-5D6E-409C-BE32-E72D297353CC}">
              <c16:uniqueId val="{00000001-95EA-485D-BD07-4721AA4F1755}"/>
            </c:ext>
          </c:extLst>
        </c:ser>
        <c:dLbls>
          <c:showLegendKey val="0"/>
          <c:showVal val="0"/>
          <c:showCatName val="0"/>
          <c:showSerName val="0"/>
          <c:showPercent val="0"/>
          <c:showBubbleSize val="0"/>
        </c:dLbls>
        <c:gapWidth val="150"/>
        <c:overlap val="100"/>
        <c:axId val="907944671"/>
        <c:axId val="821737231"/>
      </c:barChart>
      <c:catAx>
        <c:axId val="90794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37231"/>
        <c:crosses val="autoZero"/>
        <c:auto val="1"/>
        <c:lblAlgn val="ctr"/>
        <c:lblOffset val="100"/>
        <c:noMultiLvlLbl val="0"/>
      </c:catAx>
      <c:valAx>
        <c:axId val="821737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94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[beauty-wellness-excel-dashboard.xlsx]Rating Analysis!PivotTable7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Analysis'!$B$57</c:f>
              <c:strCache>
                <c:ptCount val="1"/>
                <c:pt idx="0">
                  <c:v>Total</c:v>
                </c:pt>
              </c:strCache>
            </c:strRef>
          </c:tx>
          <c:spPr>
            <a:ln w="28575" cap="rnd">
              <a:solidFill>
                <a:schemeClr val="accent1"/>
              </a:solidFill>
              <a:round/>
            </a:ln>
            <a:effectLst/>
          </c:spPr>
          <c:marker>
            <c:symbol val="none"/>
          </c:marker>
          <c:cat>
            <c:strRef>
              <c:f>'Rating Analysis'!$A$58:$A$70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'Rating Analysis'!$B$58:$B$70</c:f>
              <c:numCache>
                <c:formatCode>"₹"\ #,##0.00</c:formatCode>
                <c:ptCount val="12"/>
                <c:pt idx="0">
                  <c:v>5500</c:v>
                </c:pt>
                <c:pt idx="1">
                  <c:v>7500</c:v>
                </c:pt>
                <c:pt idx="2">
                  <c:v>6250</c:v>
                </c:pt>
                <c:pt idx="3">
                  <c:v>7900</c:v>
                </c:pt>
                <c:pt idx="4">
                  <c:v>8500</c:v>
                </c:pt>
                <c:pt idx="5">
                  <c:v>7200</c:v>
                </c:pt>
                <c:pt idx="6">
                  <c:v>9050</c:v>
                </c:pt>
                <c:pt idx="7">
                  <c:v>9250</c:v>
                </c:pt>
                <c:pt idx="8">
                  <c:v>9850</c:v>
                </c:pt>
                <c:pt idx="9">
                  <c:v>10350</c:v>
                </c:pt>
                <c:pt idx="10">
                  <c:v>10950</c:v>
                </c:pt>
                <c:pt idx="11">
                  <c:v>11650</c:v>
                </c:pt>
              </c:numCache>
            </c:numRef>
          </c:val>
          <c:smooth val="0"/>
          <c:extLst>
            <c:ext xmlns:c16="http://schemas.microsoft.com/office/drawing/2014/chart" uri="{C3380CC4-5D6E-409C-BE32-E72D297353CC}">
              <c16:uniqueId val="{00000000-5EF7-42D7-89CB-AD928E31DAA7}"/>
            </c:ext>
          </c:extLst>
        </c:ser>
        <c:dLbls>
          <c:showLegendKey val="0"/>
          <c:showVal val="0"/>
          <c:showCatName val="0"/>
          <c:showSerName val="0"/>
          <c:showPercent val="0"/>
          <c:showBubbleSize val="0"/>
        </c:dLbls>
        <c:smooth val="0"/>
        <c:axId val="865056287"/>
        <c:axId val="821740591"/>
      </c:lineChart>
      <c:catAx>
        <c:axId val="86505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40591"/>
        <c:crosses val="autoZero"/>
        <c:auto val="1"/>
        <c:lblAlgn val="ctr"/>
        <c:lblOffset val="100"/>
        <c:noMultiLvlLbl val="0"/>
      </c:catAx>
      <c:valAx>
        <c:axId val="8217405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05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[beauty-wellness-excel-dashboard.xlsx]Pivot Tables!PivotTable2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Tables'!$A$4:$A$9</c:f>
              <c:strCache>
                <c:ptCount val="5"/>
                <c:pt idx="0">
                  <c:v>Fragrance</c:v>
                </c:pt>
                <c:pt idx="1">
                  <c:v>Haircare</c:v>
                </c:pt>
                <c:pt idx="2">
                  <c:v>Makeup</c:v>
                </c:pt>
                <c:pt idx="3">
                  <c:v>Skincare</c:v>
                </c:pt>
                <c:pt idx="4">
                  <c:v>Wellness</c:v>
                </c:pt>
              </c:strCache>
            </c:strRef>
          </c:cat>
          <c:val>
            <c:numRef>
              <c:f>'Pivot Tables'!$B$4:$B$9</c:f>
              <c:numCache>
                <c:formatCode>"₹"\ #,##0.00</c:formatCode>
                <c:ptCount val="5"/>
                <c:pt idx="0">
                  <c:v>48050</c:v>
                </c:pt>
                <c:pt idx="1">
                  <c:v>30910</c:v>
                </c:pt>
                <c:pt idx="2">
                  <c:v>58200</c:v>
                </c:pt>
                <c:pt idx="3">
                  <c:v>60970</c:v>
                </c:pt>
                <c:pt idx="4">
                  <c:v>79900</c:v>
                </c:pt>
              </c:numCache>
            </c:numRef>
          </c:val>
          <c:extLst>
            <c:ext xmlns:c16="http://schemas.microsoft.com/office/drawing/2014/chart" uri="{C3380CC4-5D6E-409C-BE32-E72D297353CC}">
              <c16:uniqueId val="{00000000-C9EF-4509-BB52-CE8642AAFF9E}"/>
            </c:ext>
          </c:extLst>
        </c:ser>
        <c:dLbls>
          <c:showLegendKey val="0"/>
          <c:showVal val="0"/>
          <c:showCatName val="0"/>
          <c:showSerName val="0"/>
          <c:showPercent val="0"/>
          <c:showBubbleSize val="0"/>
        </c:dLbls>
        <c:gapWidth val="182"/>
        <c:axId val="1399171423"/>
        <c:axId val="1402782767"/>
      </c:barChart>
      <c:catAx>
        <c:axId val="1399171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782767"/>
        <c:crosses val="autoZero"/>
        <c:auto val="1"/>
        <c:lblAlgn val="ctr"/>
        <c:lblOffset val="100"/>
        <c:noMultiLvlLbl val="0"/>
      </c:catAx>
      <c:valAx>
        <c:axId val="14027827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17142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[beauty-wellness-excel-dashboard.xlsx]EDA_2!PivotTable7</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EDA_2!$E$3</c:f>
              <c:strCache>
                <c:ptCount val="1"/>
                <c:pt idx="0">
                  <c:v>Total</c:v>
                </c:pt>
              </c:strCache>
            </c:strRef>
          </c:tx>
          <c:spPr>
            <a:ln w="28575" cap="rnd">
              <a:solidFill>
                <a:schemeClr val="accent1"/>
              </a:solidFill>
              <a:round/>
            </a:ln>
            <a:effectLst/>
          </c:spPr>
          <c:marker>
            <c:symbol val="none"/>
          </c:marker>
          <c:cat>
            <c:strRef>
              <c:f>EDA_2!$D$4:$D$16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EDA_2!$E$4:$E$16</c:f>
              <c:numCache>
                <c:formatCode>"₹"\ #,##0.00</c:formatCode>
                <c:ptCount val="12"/>
                <c:pt idx="0">
                  <c:v>14800</c:v>
                </c:pt>
                <c:pt idx="1">
                  <c:v>18600</c:v>
                </c:pt>
                <c:pt idx="2">
                  <c:v>17980</c:v>
                </c:pt>
                <c:pt idx="3">
                  <c:v>20850</c:v>
                </c:pt>
                <c:pt idx="4">
                  <c:v>20400</c:v>
                </c:pt>
                <c:pt idx="5">
                  <c:v>20430</c:v>
                </c:pt>
                <c:pt idx="6">
                  <c:v>24080</c:v>
                </c:pt>
                <c:pt idx="7">
                  <c:v>25170</c:v>
                </c:pt>
                <c:pt idx="8">
                  <c:v>26470</c:v>
                </c:pt>
                <c:pt idx="9">
                  <c:v>28050</c:v>
                </c:pt>
                <c:pt idx="10">
                  <c:v>29650</c:v>
                </c:pt>
                <c:pt idx="11">
                  <c:v>31550</c:v>
                </c:pt>
              </c:numCache>
            </c:numRef>
          </c:val>
          <c:smooth val="0"/>
          <c:extLst>
            <c:ext xmlns:c16="http://schemas.microsoft.com/office/drawing/2014/chart" uri="{C3380CC4-5D6E-409C-BE32-E72D297353CC}">
              <c16:uniqueId val="{00000000-0897-4A95-B397-2D678FE70756}"/>
            </c:ext>
          </c:extLst>
        </c:ser>
        <c:dLbls>
          <c:showLegendKey val="0"/>
          <c:showVal val="0"/>
          <c:showCatName val="0"/>
          <c:showSerName val="0"/>
          <c:showPercent val="0"/>
          <c:showBubbleSize val="0"/>
        </c:dLbls>
        <c:smooth val="0"/>
        <c:axId val="1802437007"/>
        <c:axId val="1802376815"/>
      </c:lineChart>
      <c:catAx>
        <c:axId val="180243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376815"/>
        <c:crosses val="autoZero"/>
        <c:auto val="1"/>
        <c:lblAlgn val="ctr"/>
        <c:lblOffset val="100"/>
        <c:noMultiLvlLbl val="0"/>
      </c:catAx>
      <c:valAx>
        <c:axId val="1802376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43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[beauty-wellness-excel-dashboard.xlsx]Pivot Tables!PivotTable4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B0-43DB-A02B-47EDDB524C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B0-43DB-A02B-47EDDB524C0C}"/>
              </c:ext>
            </c:extLst>
          </c:dPt>
          <c:cat>
            <c:strRef>
              <c:f>'Pivot Tables'!$A$15:$A$17</c:f>
              <c:strCache>
                <c:ptCount val="2"/>
                <c:pt idx="0">
                  <c:v>Online</c:v>
                </c:pt>
                <c:pt idx="1">
                  <c:v>Retail Store</c:v>
                </c:pt>
              </c:strCache>
            </c:strRef>
          </c:cat>
          <c:val>
            <c:numRef>
              <c:f>'Pivot Tables'!$B$15:$B$17</c:f>
              <c:numCache>
                <c:formatCode>"₹"\ #,##0.00</c:formatCode>
                <c:ptCount val="2"/>
                <c:pt idx="0">
                  <c:v>229610</c:v>
                </c:pt>
                <c:pt idx="1">
                  <c:v>48420</c:v>
                </c:pt>
              </c:numCache>
            </c:numRef>
          </c:val>
          <c:extLst>
            <c:ext xmlns:c16="http://schemas.microsoft.com/office/drawing/2014/chart" uri="{C3380CC4-5D6E-409C-BE32-E72D297353CC}">
              <c16:uniqueId val="{00000004-C4B0-43DB-A02B-47EDDB524C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[beauty-wellness-excel-dashboard.xlsx]Pivot Tables!PivotTable3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Tables'!$D$4:$D$10</c:f>
              <c:strCache>
                <c:ptCount val="6"/>
                <c:pt idx="0">
                  <c:v>Bengaluru</c:v>
                </c:pt>
                <c:pt idx="1">
                  <c:v>Chennai</c:v>
                </c:pt>
                <c:pt idx="2">
                  <c:v>Delhi</c:v>
                </c:pt>
                <c:pt idx="3">
                  <c:v>Hyderabad</c:v>
                </c:pt>
                <c:pt idx="4">
                  <c:v>Mumbai</c:v>
                </c:pt>
                <c:pt idx="5">
                  <c:v>Pune</c:v>
                </c:pt>
              </c:strCache>
            </c:strRef>
          </c:cat>
          <c:val>
            <c:numRef>
              <c:f>'Pivot Tables'!$E$4:$E$10</c:f>
              <c:numCache>
                <c:formatCode>"₹"\ #,##0.00</c:formatCode>
                <c:ptCount val="6"/>
                <c:pt idx="0">
                  <c:v>103950</c:v>
                </c:pt>
                <c:pt idx="1">
                  <c:v>9170</c:v>
                </c:pt>
                <c:pt idx="2">
                  <c:v>44300</c:v>
                </c:pt>
                <c:pt idx="3">
                  <c:v>15010</c:v>
                </c:pt>
                <c:pt idx="4">
                  <c:v>57550</c:v>
                </c:pt>
                <c:pt idx="5">
                  <c:v>48050</c:v>
                </c:pt>
              </c:numCache>
            </c:numRef>
          </c:val>
          <c:extLst>
            <c:ext xmlns:c16="http://schemas.microsoft.com/office/drawing/2014/chart" uri="{C3380CC4-5D6E-409C-BE32-E72D297353CC}">
              <c16:uniqueId val="{00000000-9A66-4470-8CE2-BD0D01FA6F9B}"/>
            </c:ext>
          </c:extLst>
        </c:ser>
        <c:dLbls>
          <c:showLegendKey val="0"/>
          <c:showVal val="0"/>
          <c:showCatName val="0"/>
          <c:showSerName val="0"/>
          <c:showPercent val="0"/>
          <c:showBubbleSize val="0"/>
        </c:dLbls>
        <c:gapWidth val="219"/>
        <c:overlap val="-27"/>
        <c:axId val="1395651183"/>
        <c:axId val="1802347535"/>
      </c:barChart>
      <c:catAx>
        <c:axId val="13956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347535"/>
        <c:crosses val="autoZero"/>
        <c:auto val="1"/>
        <c:lblAlgn val="ctr"/>
        <c:lblOffset val="100"/>
        <c:noMultiLvlLbl val="0"/>
      </c:catAx>
      <c:valAx>
        <c:axId val="18023475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6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[beauty-wellness-excel-dashboard.xlsx]Customer Analysis!PivotTable3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Analysis'!$B$2</c:f>
              <c:strCache>
                <c:ptCount val="1"/>
                <c:pt idx="0">
                  <c:v>Sum of Sales</c:v>
                </c:pt>
              </c:strCache>
            </c:strRef>
          </c:tx>
          <c:spPr>
            <a:solidFill>
              <a:schemeClr val="accent1"/>
            </a:solidFill>
            <a:ln>
              <a:noFill/>
            </a:ln>
            <a:effectLst/>
          </c:spPr>
          <c:invertIfNegative val="0"/>
          <c:cat>
            <c:strRef>
              <c:f>'Customer Analysis'!$A$3:$A$7</c:f>
              <c:strCache>
                <c:ptCount val="4"/>
                <c:pt idx="0">
                  <c:v>18-24</c:v>
                </c:pt>
                <c:pt idx="1">
                  <c:v>25-34</c:v>
                </c:pt>
                <c:pt idx="2">
                  <c:v>35-44</c:v>
                </c:pt>
                <c:pt idx="3">
                  <c:v>45+</c:v>
                </c:pt>
              </c:strCache>
            </c:strRef>
          </c:cat>
          <c:val>
            <c:numRef>
              <c:f>'Customer Analysis'!$B$3:$B$7</c:f>
              <c:numCache>
                <c:formatCode>"₹"\ #,##0.00</c:formatCode>
                <c:ptCount val="4"/>
                <c:pt idx="0">
                  <c:v>6050</c:v>
                </c:pt>
                <c:pt idx="1">
                  <c:v>59650</c:v>
                </c:pt>
                <c:pt idx="2">
                  <c:v>34850</c:v>
                </c:pt>
                <c:pt idx="3">
                  <c:v>3400</c:v>
                </c:pt>
              </c:numCache>
            </c:numRef>
          </c:val>
          <c:extLst>
            <c:ext xmlns:c16="http://schemas.microsoft.com/office/drawing/2014/chart" uri="{C3380CC4-5D6E-409C-BE32-E72D297353CC}">
              <c16:uniqueId val="{00000000-59CE-4A69-B372-F4C81E55ABEF}"/>
            </c:ext>
          </c:extLst>
        </c:ser>
        <c:ser>
          <c:idx val="1"/>
          <c:order val="1"/>
          <c:tx>
            <c:strRef>
              <c:f>'Customer Analysis'!$C$2</c:f>
              <c:strCache>
                <c:ptCount val="1"/>
                <c:pt idx="0">
                  <c:v>Sum of Order IDA1:J21</c:v>
                </c:pt>
              </c:strCache>
            </c:strRef>
          </c:tx>
          <c:spPr>
            <a:solidFill>
              <a:schemeClr val="accent2"/>
            </a:solidFill>
            <a:ln>
              <a:noFill/>
            </a:ln>
            <a:effectLst/>
          </c:spPr>
          <c:invertIfNegative val="0"/>
          <c:cat>
            <c:strRef>
              <c:f>'Customer Analysis'!$A$3:$A$7</c:f>
              <c:strCache>
                <c:ptCount val="4"/>
                <c:pt idx="0">
                  <c:v>18-24</c:v>
                </c:pt>
                <c:pt idx="1">
                  <c:v>25-34</c:v>
                </c:pt>
                <c:pt idx="2">
                  <c:v>35-44</c:v>
                </c:pt>
                <c:pt idx="3">
                  <c:v>45+</c:v>
                </c:pt>
              </c:strCache>
            </c:strRef>
          </c:cat>
          <c:val>
            <c:numRef>
              <c:f>'Customer Analysis'!$C$3:$C$7</c:f>
              <c:numCache>
                <c:formatCode>General</c:formatCode>
                <c:ptCount val="4"/>
                <c:pt idx="0">
                  <c:v>3083</c:v>
                </c:pt>
                <c:pt idx="1">
                  <c:v>22345</c:v>
                </c:pt>
                <c:pt idx="2">
                  <c:v>11644</c:v>
                </c:pt>
                <c:pt idx="3">
                  <c:v>1064</c:v>
                </c:pt>
              </c:numCache>
            </c:numRef>
          </c:val>
          <c:extLst>
            <c:ext xmlns:c16="http://schemas.microsoft.com/office/drawing/2014/chart" uri="{C3380CC4-5D6E-409C-BE32-E72D297353CC}">
              <c16:uniqueId val="{00000001-59CE-4A69-B372-F4C81E55ABEF}"/>
            </c:ext>
          </c:extLst>
        </c:ser>
        <c:dLbls>
          <c:showLegendKey val="0"/>
          <c:showVal val="0"/>
          <c:showCatName val="0"/>
          <c:showSerName val="0"/>
          <c:showPercent val="0"/>
          <c:showBubbleSize val="0"/>
        </c:dLbls>
        <c:gapWidth val="219"/>
        <c:overlap val="-27"/>
        <c:axId val="871065679"/>
        <c:axId val="821654671"/>
      </c:barChart>
      <c:catAx>
        <c:axId val="87106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654671"/>
        <c:crosses val="autoZero"/>
        <c:auto val="1"/>
        <c:lblAlgn val="ctr"/>
        <c:lblOffset val="100"/>
        <c:noMultiLvlLbl val="0"/>
      </c:catAx>
      <c:valAx>
        <c:axId val="821654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06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[beauty-wellness-excel-dashboard.xlsx]Rating Analysis!PivotTable7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Analysis'!$B$57</c:f>
              <c:strCache>
                <c:ptCount val="1"/>
                <c:pt idx="0">
                  <c:v>Total</c:v>
                </c:pt>
              </c:strCache>
            </c:strRef>
          </c:tx>
          <c:spPr>
            <a:ln w="28575" cap="rnd">
              <a:solidFill>
                <a:schemeClr val="accent1"/>
              </a:solidFill>
              <a:round/>
            </a:ln>
            <a:effectLst/>
          </c:spPr>
          <c:marker>
            <c:symbol val="none"/>
          </c:marker>
          <c:cat>
            <c:strRef>
              <c:f>'Rating Analysis'!$A$58:$A$70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'Rating Analysis'!$B$58:$B$70</c:f>
              <c:numCache>
                <c:formatCode>"₹"\ #,##0.00</c:formatCode>
                <c:ptCount val="12"/>
                <c:pt idx="0">
                  <c:v>5500</c:v>
                </c:pt>
                <c:pt idx="1">
                  <c:v>7500</c:v>
                </c:pt>
                <c:pt idx="2">
                  <c:v>6250</c:v>
                </c:pt>
                <c:pt idx="3">
                  <c:v>7900</c:v>
                </c:pt>
                <c:pt idx="4">
                  <c:v>8500</c:v>
                </c:pt>
                <c:pt idx="5">
                  <c:v>7200</c:v>
                </c:pt>
                <c:pt idx="6">
                  <c:v>9050</c:v>
                </c:pt>
                <c:pt idx="7">
                  <c:v>9250</c:v>
                </c:pt>
                <c:pt idx="8">
                  <c:v>9850</c:v>
                </c:pt>
                <c:pt idx="9">
                  <c:v>10350</c:v>
                </c:pt>
                <c:pt idx="10">
                  <c:v>10950</c:v>
                </c:pt>
                <c:pt idx="11">
                  <c:v>11650</c:v>
                </c:pt>
              </c:numCache>
            </c:numRef>
          </c:val>
          <c:smooth val="0"/>
          <c:extLst>
            <c:ext xmlns:c16="http://schemas.microsoft.com/office/drawing/2014/chart" uri="{C3380CC4-5D6E-409C-BE32-E72D297353CC}">
              <c16:uniqueId val="{00000000-9973-4D86-91F0-2D0AE2BEF373}"/>
            </c:ext>
          </c:extLst>
        </c:ser>
        <c:dLbls>
          <c:showLegendKey val="0"/>
          <c:showVal val="0"/>
          <c:showCatName val="0"/>
          <c:showSerName val="0"/>
          <c:showPercent val="0"/>
          <c:showBubbleSize val="0"/>
        </c:dLbls>
        <c:smooth val="0"/>
        <c:axId val="865056287"/>
        <c:axId val="821740591"/>
      </c:lineChart>
      <c:catAx>
        <c:axId val="86505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40591"/>
        <c:crosses val="autoZero"/>
        <c:auto val="1"/>
        <c:lblAlgn val="ctr"/>
        <c:lblOffset val="100"/>
        <c:noMultiLvlLbl val="0"/>
      </c:catAx>
      <c:valAx>
        <c:axId val="8217405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05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[beauty-wellness-excel-dashboard.xlsx]Customer Analysis!PivotTable3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Analysis'!$B$2</c:f>
              <c:strCache>
                <c:ptCount val="1"/>
                <c:pt idx="0">
                  <c:v>Sum of Sales</c:v>
                </c:pt>
              </c:strCache>
            </c:strRef>
          </c:tx>
          <c:spPr>
            <a:solidFill>
              <a:schemeClr val="accent1"/>
            </a:solidFill>
            <a:ln>
              <a:noFill/>
            </a:ln>
            <a:effectLst/>
          </c:spPr>
          <c:invertIfNegative val="0"/>
          <c:cat>
            <c:strRef>
              <c:f>'Customer Analysis'!$A$3:$A$7</c:f>
              <c:strCache>
                <c:ptCount val="4"/>
                <c:pt idx="0">
                  <c:v>18-24</c:v>
                </c:pt>
                <c:pt idx="1">
                  <c:v>25-34</c:v>
                </c:pt>
                <c:pt idx="2">
                  <c:v>35-44</c:v>
                </c:pt>
                <c:pt idx="3">
                  <c:v>45+</c:v>
                </c:pt>
              </c:strCache>
            </c:strRef>
          </c:cat>
          <c:val>
            <c:numRef>
              <c:f>'Customer Analysis'!$B$3:$B$7</c:f>
              <c:numCache>
                <c:formatCode>"₹"\ #,##0.00</c:formatCode>
                <c:ptCount val="4"/>
                <c:pt idx="0">
                  <c:v>6050</c:v>
                </c:pt>
                <c:pt idx="1">
                  <c:v>59650</c:v>
                </c:pt>
                <c:pt idx="2">
                  <c:v>34850</c:v>
                </c:pt>
                <c:pt idx="3">
                  <c:v>3400</c:v>
                </c:pt>
              </c:numCache>
            </c:numRef>
          </c:val>
          <c:extLst>
            <c:ext xmlns:c16="http://schemas.microsoft.com/office/drawing/2014/chart" uri="{C3380CC4-5D6E-409C-BE32-E72D297353CC}">
              <c16:uniqueId val="{00000000-0DA4-4912-9A4E-102BB325B406}"/>
            </c:ext>
          </c:extLst>
        </c:ser>
        <c:ser>
          <c:idx val="1"/>
          <c:order val="1"/>
          <c:tx>
            <c:strRef>
              <c:f>'Customer Analysis'!$C$2</c:f>
              <c:strCache>
                <c:ptCount val="1"/>
                <c:pt idx="0">
                  <c:v>Sum of Order IDA1:J21</c:v>
                </c:pt>
              </c:strCache>
            </c:strRef>
          </c:tx>
          <c:spPr>
            <a:solidFill>
              <a:schemeClr val="accent2"/>
            </a:solidFill>
            <a:ln>
              <a:noFill/>
            </a:ln>
            <a:effectLst/>
          </c:spPr>
          <c:invertIfNegative val="0"/>
          <c:cat>
            <c:strRef>
              <c:f>'Customer Analysis'!$A$3:$A$7</c:f>
              <c:strCache>
                <c:ptCount val="4"/>
                <c:pt idx="0">
                  <c:v>18-24</c:v>
                </c:pt>
                <c:pt idx="1">
                  <c:v>25-34</c:v>
                </c:pt>
                <c:pt idx="2">
                  <c:v>35-44</c:v>
                </c:pt>
                <c:pt idx="3">
                  <c:v>45+</c:v>
                </c:pt>
              </c:strCache>
            </c:strRef>
          </c:cat>
          <c:val>
            <c:numRef>
              <c:f>'Customer Analysis'!$C$3:$C$7</c:f>
              <c:numCache>
                <c:formatCode>General</c:formatCode>
                <c:ptCount val="4"/>
                <c:pt idx="0">
                  <c:v>3083</c:v>
                </c:pt>
                <c:pt idx="1">
                  <c:v>22345</c:v>
                </c:pt>
                <c:pt idx="2">
                  <c:v>11644</c:v>
                </c:pt>
                <c:pt idx="3">
                  <c:v>1064</c:v>
                </c:pt>
              </c:numCache>
            </c:numRef>
          </c:val>
          <c:extLst>
            <c:ext xmlns:c16="http://schemas.microsoft.com/office/drawing/2014/chart" uri="{C3380CC4-5D6E-409C-BE32-E72D297353CC}">
              <c16:uniqueId val="{00000001-0DA4-4912-9A4E-102BB325B406}"/>
            </c:ext>
          </c:extLst>
        </c:ser>
        <c:dLbls>
          <c:showLegendKey val="0"/>
          <c:showVal val="0"/>
          <c:showCatName val="0"/>
          <c:showSerName val="0"/>
          <c:showPercent val="0"/>
          <c:showBubbleSize val="0"/>
        </c:dLbls>
        <c:gapWidth val="219"/>
        <c:overlap val="-27"/>
        <c:axId val="871065679"/>
        <c:axId val="821654671"/>
      </c:barChart>
      <c:catAx>
        <c:axId val="87106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654671"/>
        <c:crosses val="autoZero"/>
        <c:auto val="1"/>
        <c:lblAlgn val="ctr"/>
        <c:lblOffset val="100"/>
        <c:noMultiLvlLbl val="0"/>
      </c:catAx>
      <c:valAx>
        <c:axId val="821654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06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[beauty-wellness-excel-dashboard.xlsx]Product Analysis!PivotTable1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 Analysis'!$B$3</c:f>
              <c:strCache>
                <c:ptCount val="1"/>
                <c:pt idx="0">
                  <c:v>Total</c:v>
                </c:pt>
              </c:strCache>
            </c:strRef>
          </c:tx>
          <c:spPr>
            <a:solidFill>
              <a:schemeClr val="accent1"/>
            </a:solidFill>
            <a:ln>
              <a:noFill/>
            </a:ln>
            <a:effectLst/>
          </c:spPr>
          <c:invertIfNegative val="0"/>
          <c:cat>
            <c:strRef>
              <c:f>'Product Analysis'!$A$4:$A$7</c:f>
              <c:strCache>
                <c:ptCount val="3"/>
                <c:pt idx="0">
                  <c:v>Vitamin Pack</c:v>
                </c:pt>
                <c:pt idx="1">
                  <c:v>Face Serum</c:v>
                </c:pt>
                <c:pt idx="2">
                  <c:v>Foundation</c:v>
                </c:pt>
              </c:strCache>
            </c:strRef>
          </c:cat>
          <c:val>
            <c:numRef>
              <c:f>'Product Analysis'!$B$4:$B$7</c:f>
              <c:numCache>
                <c:formatCode>"₹"\ #,##0.00</c:formatCode>
                <c:ptCount val="3"/>
                <c:pt idx="0">
                  <c:v>38250</c:v>
                </c:pt>
                <c:pt idx="1">
                  <c:v>33300</c:v>
                </c:pt>
                <c:pt idx="2">
                  <c:v>32400</c:v>
                </c:pt>
              </c:numCache>
            </c:numRef>
          </c:val>
          <c:extLst>
            <c:ext xmlns:c16="http://schemas.microsoft.com/office/drawing/2014/chart" uri="{C3380CC4-5D6E-409C-BE32-E72D297353CC}">
              <c16:uniqueId val="{00000000-55FA-4FE3-B4E7-CD6952C1C943}"/>
            </c:ext>
          </c:extLst>
        </c:ser>
        <c:dLbls>
          <c:showLegendKey val="0"/>
          <c:showVal val="0"/>
          <c:showCatName val="0"/>
          <c:showSerName val="0"/>
          <c:showPercent val="0"/>
          <c:showBubbleSize val="0"/>
        </c:dLbls>
        <c:gapWidth val="150"/>
        <c:overlap val="100"/>
        <c:axId val="867193183"/>
        <c:axId val="821726671"/>
      </c:barChart>
      <c:catAx>
        <c:axId val="8671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26671"/>
        <c:crosses val="autoZero"/>
        <c:auto val="1"/>
        <c:lblAlgn val="ctr"/>
        <c:lblOffset val="100"/>
        <c:noMultiLvlLbl val="0"/>
      </c:catAx>
      <c:valAx>
        <c:axId val="821726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19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[beauty-wellness-excel-dashboard.xlsx]Rating Analysis!PivotTable6</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'Rating Analysis'!$B$38</c:f>
              <c:strCache>
                <c:ptCount val="1"/>
                <c:pt idx="0">
                  <c:v>Sum of Sales</c:v>
                </c:pt>
              </c:strCache>
            </c:strRef>
          </c:tx>
          <c:spPr>
            <a:solidFill>
              <a:schemeClr val="accent1"/>
            </a:solidFill>
            <a:ln>
              <a:noFill/>
            </a:ln>
            <a:effectLst/>
          </c:spPr>
          <c:invertIfNegative val="0"/>
          <c:cat>
            <c:strRef>
              <c:f>'Rating Analysis'!$A$39:$A$40</c:f>
              <c:strCache>
                <c:ptCount val="1"/>
                <c:pt idx="0">
                  <c:v>Bengaluru</c:v>
                </c:pt>
              </c:strCache>
            </c:strRef>
          </c:cat>
          <c:val>
            <c:numRef>
              <c:f>'Rating Analysis'!$B$39:$B$40</c:f>
              <c:numCache>
                <c:formatCode>"₹"\ #,##0.00</c:formatCode>
                <c:ptCount val="1"/>
                <c:pt idx="0">
                  <c:v>103950</c:v>
                </c:pt>
              </c:numCache>
            </c:numRef>
          </c:val>
          <c:extLst>
            <c:ext xmlns:c16="http://schemas.microsoft.com/office/drawing/2014/chart" uri="{C3380CC4-5D6E-409C-BE32-E72D297353CC}">
              <c16:uniqueId val="{00000000-F1D4-46F6-9921-212AC66B8C6E}"/>
            </c:ext>
          </c:extLst>
        </c:ser>
        <c:ser>
          <c:idx val="1"/>
          <c:order val="1"/>
          <c:tx>
            <c:strRef>
              <c:f>'Rating Analysis'!$C$38</c:f>
              <c:strCache>
                <c:ptCount val="1"/>
                <c:pt idx="0">
                  <c:v>Count of Order IDA1:J21</c:v>
                </c:pt>
              </c:strCache>
            </c:strRef>
          </c:tx>
          <c:spPr>
            <a:solidFill>
              <a:schemeClr val="accent2"/>
            </a:solidFill>
            <a:ln>
              <a:noFill/>
            </a:ln>
            <a:effectLst/>
          </c:spPr>
          <c:invertIfNegative val="0"/>
          <c:cat>
            <c:strRef>
              <c:f>'Rating Analysis'!$A$39:$A$40</c:f>
              <c:strCache>
                <c:ptCount val="1"/>
                <c:pt idx="0">
                  <c:v>Bengaluru</c:v>
                </c:pt>
              </c:strCache>
            </c:strRef>
          </c:cat>
          <c:val>
            <c:numRef>
              <c:f>'Rating Analysis'!$C$39:$C$40</c:f>
              <c:numCache>
                <c:formatCode>General</c:formatCode>
                <c:ptCount val="1"/>
                <c:pt idx="0">
                  <c:v>36</c:v>
                </c:pt>
              </c:numCache>
            </c:numRef>
          </c:val>
          <c:extLst>
            <c:ext xmlns:c16="http://schemas.microsoft.com/office/drawing/2014/chart" uri="{C3380CC4-5D6E-409C-BE32-E72D297353CC}">
              <c16:uniqueId val="{00000001-F1D4-46F6-9921-212AC66B8C6E}"/>
            </c:ext>
          </c:extLst>
        </c:ser>
        <c:dLbls>
          <c:showLegendKey val="0"/>
          <c:showVal val="0"/>
          <c:showCatName val="0"/>
          <c:showSerName val="0"/>
          <c:showPercent val="0"/>
          <c:showBubbleSize val="0"/>
        </c:dLbls>
        <c:gapWidth val="150"/>
        <c:overlap val="100"/>
        <c:axId val="907944671"/>
        <c:axId val="821737231"/>
      </c:barChart>
      <c:catAx>
        <c:axId val="90794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37231"/>
        <c:crosses val="autoZero"/>
        <c:auto val="1"/>
        <c:lblAlgn val="ctr"/>
        <c:lblOffset val="100"/>
        <c:noMultiLvlLbl val="0"/>
      </c:catAx>
      <c:valAx>
        <c:axId val="821737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94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[beauty-wellness-excel-dashboard.xlsx]Product Analysis!PivotTable2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Bottom 5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 Analysis'!$B$20</c:f>
              <c:strCache>
                <c:ptCount val="1"/>
                <c:pt idx="0">
                  <c:v>Total</c:v>
                </c:pt>
              </c:strCache>
            </c:strRef>
          </c:tx>
          <c:spPr>
            <a:solidFill>
              <a:schemeClr val="accent1"/>
            </a:solidFill>
            <a:ln>
              <a:noFill/>
            </a:ln>
            <a:effectLst/>
          </c:spPr>
          <c:invertIfNegative val="0"/>
          <c:cat>
            <c:strRef>
              <c:f>'Product Analysis'!$A$21:$A$24</c:f>
              <c:strCache>
                <c:ptCount val="3"/>
                <c:pt idx="0">
                  <c:v>Foundation</c:v>
                </c:pt>
                <c:pt idx="1">
                  <c:v>Face Serum</c:v>
                </c:pt>
                <c:pt idx="2">
                  <c:v>Vitamin Pack</c:v>
                </c:pt>
              </c:strCache>
            </c:strRef>
          </c:cat>
          <c:val>
            <c:numRef>
              <c:f>'Product Analysis'!$B$21:$B$24</c:f>
              <c:numCache>
                <c:formatCode>"₹"\ #,##0.00</c:formatCode>
                <c:ptCount val="3"/>
                <c:pt idx="0">
                  <c:v>32400</c:v>
                </c:pt>
                <c:pt idx="1">
                  <c:v>33300</c:v>
                </c:pt>
                <c:pt idx="2">
                  <c:v>38250</c:v>
                </c:pt>
              </c:numCache>
            </c:numRef>
          </c:val>
          <c:extLst>
            <c:ext xmlns:c16="http://schemas.microsoft.com/office/drawing/2014/chart" uri="{C3380CC4-5D6E-409C-BE32-E72D297353CC}">
              <c16:uniqueId val="{00000000-AA7C-4FC9-A773-FEEAEFF85C87}"/>
            </c:ext>
          </c:extLst>
        </c:ser>
        <c:dLbls>
          <c:showLegendKey val="0"/>
          <c:showVal val="0"/>
          <c:showCatName val="0"/>
          <c:showSerName val="0"/>
          <c:showPercent val="0"/>
          <c:showBubbleSize val="0"/>
        </c:dLbls>
        <c:gapWidth val="150"/>
        <c:overlap val="100"/>
        <c:axId val="913195359"/>
        <c:axId val="821718031"/>
      </c:barChart>
      <c:catAx>
        <c:axId val="91319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18031"/>
        <c:crosses val="autoZero"/>
        <c:auto val="1"/>
        <c:lblAlgn val="ctr"/>
        <c:lblOffset val="100"/>
        <c:noMultiLvlLbl val="0"/>
      </c:catAx>
      <c:valAx>
        <c:axId val="821718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19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[beauty-wellness-excel-dashboard.xlsx]Forecasting!PivotTable1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Beauty and Wellness Sales Trend –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Forecasting!$B$2</c:f>
              <c:strCache>
                <c:ptCount val="1"/>
                <c:pt idx="0">
                  <c:v>Total</c:v>
                </c:pt>
              </c:strCache>
            </c:strRef>
          </c:tx>
          <c:spPr>
            <a:ln w="28575" cap="rnd">
              <a:solidFill>
                <a:schemeClr val="accent1"/>
              </a:solidFill>
              <a:round/>
            </a:ln>
            <a:effectLst/>
          </c:spPr>
          <c:marker>
            <c:symbol val="none"/>
          </c:marker>
          <c:cat>
            <c:strRef>
              <c:f>Forecasting!$A$3:$A$15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Forecasting!$B$3:$B$15</c:f>
              <c:numCache>
                <c:formatCode>"₹"\ #,##0.00</c:formatCode>
                <c:ptCount val="12"/>
                <c:pt idx="0">
                  <c:v>5500</c:v>
                </c:pt>
                <c:pt idx="1">
                  <c:v>7500</c:v>
                </c:pt>
                <c:pt idx="2">
                  <c:v>6250</c:v>
                </c:pt>
                <c:pt idx="3">
                  <c:v>7900</c:v>
                </c:pt>
                <c:pt idx="4">
                  <c:v>8500</c:v>
                </c:pt>
                <c:pt idx="5">
                  <c:v>7200</c:v>
                </c:pt>
                <c:pt idx="6">
                  <c:v>9050</c:v>
                </c:pt>
                <c:pt idx="7">
                  <c:v>9250</c:v>
                </c:pt>
                <c:pt idx="8">
                  <c:v>9850</c:v>
                </c:pt>
                <c:pt idx="9">
                  <c:v>10350</c:v>
                </c:pt>
                <c:pt idx="10">
                  <c:v>10950</c:v>
                </c:pt>
                <c:pt idx="11">
                  <c:v>11650</c:v>
                </c:pt>
              </c:numCache>
            </c:numRef>
          </c:val>
          <c:smooth val="0"/>
          <c:extLst>
            <c:ext xmlns:c16="http://schemas.microsoft.com/office/drawing/2014/chart" uri="{C3380CC4-5D6E-409C-BE32-E72D297353CC}">
              <c16:uniqueId val="{00000000-6FC5-4A16-832E-D07A0E7A122E}"/>
            </c:ext>
          </c:extLst>
        </c:ser>
        <c:dLbls>
          <c:showLegendKey val="0"/>
          <c:showVal val="0"/>
          <c:showCatName val="0"/>
          <c:showSerName val="0"/>
          <c:showPercent val="0"/>
          <c:showBubbleSize val="0"/>
        </c:dLbls>
        <c:smooth val="0"/>
        <c:axId val="1152693023"/>
        <c:axId val="941901583"/>
      </c:lineChart>
      <c:catAx>
        <c:axId val="1152693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a:solidFill>
                      <a:schemeClr val="lt1"/>
                    </a:solidFill>
                    <a:latin typeface="+mn-lt"/>
                    <a:ea typeface="+mn-ea"/>
                    <a:cs typeface="+mn-cs"/>
                  </a:rPr>
                  <a:t>Month</a:t>
                </a:r>
                <a:endParaRPr lang="en-IN"/>
              </a:p>
            </c:rich>
          </c:tx>
          <c:overlay val="0"/>
          <c:spPr>
            <a:solidFill>
              <a:schemeClr val="accent5"/>
            </a:solidFill>
            <a:ln w="19050" cap="flat" cmpd="sng" algn="ctr">
              <a:solidFill>
                <a:schemeClr val="lt1"/>
              </a:solidFill>
              <a:prstDash val="solid"/>
              <a:miter lim="800000"/>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901583"/>
        <c:crosses val="autoZero"/>
        <c:auto val="1"/>
        <c:lblAlgn val="ctr"/>
        <c:lblOffset val="100"/>
        <c:noMultiLvlLbl val="0"/>
      </c:catAx>
      <c:valAx>
        <c:axId val="941901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IN" sz="1000" b="0" i="0" u="none" strike="noStrike" baseline="0">
                    <a:solidFill>
                      <a:schemeClr val="lt1"/>
                    </a:solidFill>
                    <a:latin typeface="+mn-lt"/>
                    <a:ea typeface="+mn-ea"/>
                    <a:cs typeface="+mn-cs"/>
                  </a:rPr>
                  <a:t>Sales (₹)</a:t>
                </a:r>
                <a:endParaRPr lang="en-IN"/>
              </a:p>
            </c:rich>
          </c:tx>
          <c:overlay val="0"/>
          <c:spPr>
            <a:solidFill>
              <a:schemeClr val="accent5"/>
            </a:solidFill>
            <a:ln w="19050" cap="flat" cmpd="sng" algn="ctr">
              <a:solidFill>
                <a:schemeClr val="lt1"/>
              </a:solidFill>
              <a:prstDash val="solid"/>
              <a:miter lim="800000"/>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69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Actual Sales vs 3-Month Moving Average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Forecasting!$G$1</c:f>
              <c:strCache>
                <c:ptCount val="1"/>
                <c:pt idx="0">
                  <c:v>Actual Sales</c:v>
                </c:pt>
              </c:strCache>
            </c:strRef>
          </c:tx>
          <c:spPr>
            <a:ln w="28575" cap="rnd">
              <a:solidFill>
                <a:schemeClr val="accent1"/>
              </a:solidFill>
              <a:round/>
            </a:ln>
            <a:effectLst/>
          </c:spPr>
          <c:marker>
            <c:symbol val="none"/>
          </c:marker>
          <c:cat>
            <c:strRef>
              <c:f>Forecasting!$F$2:$F$13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Forecasting!$G$2:$G$13</c:f>
              <c:numCache>
                <c:formatCode>"₹"\ #,##0.00</c:formatCode>
                <c:ptCount val="12"/>
                <c:pt idx="0">
                  <c:v>14800</c:v>
                </c:pt>
                <c:pt idx="1">
                  <c:v>18600</c:v>
                </c:pt>
                <c:pt idx="2">
                  <c:v>17980</c:v>
                </c:pt>
                <c:pt idx="3">
                  <c:v>20850</c:v>
                </c:pt>
                <c:pt idx="4">
                  <c:v>20400</c:v>
                </c:pt>
                <c:pt idx="5">
                  <c:v>20430</c:v>
                </c:pt>
                <c:pt idx="6">
                  <c:v>24080</c:v>
                </c:pt>
                <c:pt idx="7">
                  <c:v>25170</c:v>
                </c:pt>
                <c:pt idx="8">
                  <c:v>26470</c:v>
                </c:pt>
                <c:pt idx="9">
                  <c:v>28050</c:v>
                </c:pt>
                <c:pt idx="10">
                  <c:v>29650</c:v>
                </c:pt>
                <c:pt idx="11">
                  <c:v>31550</c:v>
                </c:pt>
              </c:numCache>
            </c:numRef>
          </c:val>
          <c:smooth val="0"/>
          <c:extLst>
            <c:ext xmlns:c16="http://schemas.microsoft.com/office/drawing/2014/chart" uri="{C3380CC4-5D6E-409C-BE32-E72D297353CC}">
              <c16:uniqueId val="{00000000-FE72-47E0-97CE-58CCC0CB5BCE}"/>
            </c:ext>
          </c:extLst>
        </c:ser>
        <c:ser>
          <c:idx val="1"/>
          <c:order val="1"/>
          <c:tx>
            <c:strRef>
              <c:f>Forecasting!$H$1</c:f>
              <c:strCache>
                <c:ptCount val="1"/>
                <c:pt idx="0">
                  <c:v>3-Month Moving Average</c:v>
                </c:pt>
              </c:strCache>
            </c:strRef>
          </c:tx>
          <c:spPr>
            <a:ln w="28575" cap="rnd">
              <a:solidFill>
                <a:schemeClr val="accent2"/>
              </a:solidFill>
              <a:round/>
            </a:ln>
            <a:effectLst/>
          </c:spPr>
          <c:marker>
            <c:symbol val="none"/>
          </c:marker>
          <c:cat>
            <c:strRef>
              <c:f>Forecasting!$F$2:$F$13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Forecasting!$H$2:$H$13</c:f>
              <c:numCache>
                <c:formatCode>General</c:formatCode>
                <c:ptCount val="12"/>
                <c:pt idx="3" formatCode="&quot;₹&quot;\ #,##0.00">
                  <c:v>17126.666666666668</c:v>
                </c:pt>
                <c:pt idx="4" formatCode="&quot;₹&quot;\ #,##0.00">
                  <c:v>19143.333333333332</c:v>
                </c:pt>
                <c:pt idx="5" formatCode="&quot;₹&quot;\ #,##0.00">
                  <c:v>19743.333333333332</c:v>
                </c:pt>
                <c:pt idx="6" formatCode="&quot;₹&quot;\ #,##0.00">
                  <c:v>20560</c:v>
                </c:pt>
                <c:pt idx="7" formatCode="&quot;₹&quot;\ #,##0.00">
                  <c:v>21636.666666666668</c:v>
                </c:pt>
                <c:pt idx="8" formatCode="&quot;₹&quot;\ #,##0.00">
                  <c:v>23226.666666666668</c:v>
                </c:pt>
                <c:pt idx="9" formatCode="&quot;₹&quot;\ #,##0.00">
                  <c:v>25240</c:v>
                </c:pt>
                <c:pt idx="10" formatCode="&quot;₹&quot;\ #,##0.00">
                  <c:v>26563.333333333332</c:v>
                </c:pt>
                <c:pt idx="11" formatCode="&quot;₹&quot;\ #,##0.00">
                  <c:v>28056.666666666668</c:v>
                </c:pt>
              </c:numCache>
            </c:numRef>
          </c:val>
          <c:smooth val="0"/>
          <c:extLst>
            <c:ext xmlns:c16="http://schemas.microsoft.com/office/drawing/2014/chart" uri="{C3380CC4-5D6E-409C-BE32-E72D297353CC}">
              <c16:uniqueId val="{00000001-FE72-47E0-97CE-58CCC0CB5BCE}"/>
            </c:ext>
          </c:extLst>
        </c:ser>
        <c:dLbls>
          <c:showLegendKey val="0"/>
          <c:showVal val="0"/>
          <c:showCatName val="0"/>
          <c:showSerName val="0"/>
          <c:showPercent val="0"/>
          <c:showBubbleSize val="0"/>
        </c:dLbls>
        <c:smooth val="0"/>
        <c:axId val="1133501023"/>
        <c:axId val="1149205775"/>
      </c:lineChart>
      <c:catAx>
        <c:axId val="113350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205775"/>
        <c:crosses val="autoZero"/>
        <c:auto val="1"/>
        <c:lblAlgn val="ctr"/>
        <c:lblOffset val="100"/>
        <c:noMultiLvlLbl val="0"/>
      </c:catAx>
      <c:valAx>
        <c:axId val="11492057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501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Forecasting!$M$1</c:f>
              <c:strCache>
                <c:ptCount val="1"/>
                <c:pt idx="0">
                  <c:v>Actual Sales</c:v>
                </c:pt>
              </c:strCache>
            </c:strRef>
          </c:tx>
          <c:spPr>
            <a:ln w="28575" cap="rnd">
              <a:solidFill>
                <a:schemeClr val="accent1"/>
              </a:solidFill>
              <a:round/>
            </a:ln>
            <a:effectLst/>
          </c:spPr>
          <c:marker>
            <c:symbol val="none"/>
          </c:marker>
          <c:cat>
            <c:strRef>
              <c:f>Forecasting!$L$2:$L$13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Forecasting!$M$2:$M$13</c:f>
              <c:numCache>
                <c:formatCode>"₹"\ #,##0.00</c:formatCode>
                <c:ptCount val="12"/>
                <c:pt idx="0">
                  <c:v>14800</c:v>
                </c:pt>
                <c:pt idx="1">
                  <c:v>18600</c:v>
                </c:pt>
                <c:pt idx="2">
                  <c:v>17980</c:v>
                </c:pt>
                <c:pt idx="3">
                  <c:v>20850</c:v>
                </c:pt>
                <c:pt idx="4">
                  <c:v>20400</c:v>
                </c:pt>
                <c:pt idx="5">
                  <c:v>20430</c:v>
                </c:pt>
                <c:pt idx="6">
                  <c:v>24080</c:v>
                </c:pt>
                <c:pt idx="7">
                  <c:v>25170</c:v>
                </c:pt>
                <c:pt idx="8">
                  <c:v>26470</c:v>
                </c:pt>
                <c:pt idx="9">
                  <c:v>28050</c:v>
                </c:pt>
                <c:pt idx="10">
                  <c:v>29650</c:v>
                </c:pt>
                <c:pt idx="11">
                  <c:v>31550</c:v>
                </c:pt>
              </c:numCache>
            </c:numRef>
          </c:val>
          <c:smooth val="0"/>
          <c:extLst>
            <c:ext xmlns:c16="http://schemas.microsoft.com/office/drawing/2014/chart" uri="{C3380CC4-5D6E-409C-BE32-E72D297353CC}">
              <c16:uniqueId val="{00000000-A4C9-49BB-8F2E-DCC33A6D3E47}"/>
            </c:ext>
          </c:extLst>
        </c:ser>
        <c:ser>
          <c:idx val="1"/>
          <c:order val="1"/>
          <c:tx>
            <c:strRef>
              <c:f>Forecasting!$N$1</c:f>
              <c:strCache>
                <c:ptCount val="1"/>
                <c:pt idx="0">
                  <c:v>Exponential Smoothing</c:v>
                </c:pt>
              </c:strCache>
            </c:strRef>
          </c:tx>
          <c:spPr>
            <a:ln w="28575" cap="rnd">
              <a:solidFill>
                <a:schemeClr val="accent2"/>
              </a:solidFill>
              <a:round/>
            </a:ln>
            <a:effectLst/>
          </c:spPr>
          <c:marker>
            <c:symbol val="none"/>
          </c:marker>
          <c:cat>
            <c:strRef>
              <c:f>Forecasting!$L$2:$L$13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Forecasting!$N$2:$N$13</c:f>
              <c:numCache>
                <c:formatCode>General</c:formatCode>
                <c:ptCount val="12"/>
                <c:pt idx="0" formatCode="&quot;₹&quot;\ #,##0.00">
                  <c:v>14800</c:v>
                </c:pt>
                <c:pt idx="1">
                  <c:v>14800</c:v>
                </c:pt>
                <c:pt idx="2">
                  <c:v>15940</c:v>
                </c:pt>
                <c:pt idx="3">
                  <c:v>16552</c:v>
                </c:pt>
                <c:pt idx="4">
                  <c:v>17841.400000000001</c:v>
                </c:pt>
                <c:pt idx="5">
                  <c:v>18608.98</c:v>
                </c:pt>
                <c:pt idx="6">
                  <c:v>19155.286</c:v>
                </c:pt>
                <c:pt idx="7">
                  <c:v>20632.700199999999</c:v>
                </c:pt>
                <c:pt idx="8">
                  <c:v>21993.890139999996</c:v>
                </c:pt>
                <c:pt idx="9">
                  <c:v>23336.723097999995</c:v>
                </c:pt>
                <c:pt idx="10">
                  <c:v>24750.706168599994</c:v>
                </c:pt>
                <c:pt idx="11">
                  <c:v>26220.494318019995</c:v>
                </c:pt>
              </c:numCache>
            </c:numRef>
          </c:val>
          <c:smooth val="0"/>
          <c:extLst>
            <c:ext xmlns:c16="http://schemas.microsoft.com/office/drawing/2014/chart" uri="{C3380CC4-5D6E-409C-BE32-E72D297353CC}">
              <c16:uniqueId val="{00000001-A4C9-49BB-8F2E-DCC33A6D3E47}"/>
            </c:ext>
          </c:extLst>
        </c:ser>
        <c:dLbls>
          <c:showLegendKey val="0"/>
          <c:showVal val="0"/>
          <c:showCatName val="0"/>
          <c:showSerName val="0"/>
          <c:showPercent val="0"/>
          <c:showBubbleSize val="0"/>
        </c:dLbls>
        <c:smooth val="0"/>
        <c:axId val="1191311599"/>
        <c:axId val="1149162575"/>
      </c:lineChart>
      <c:catAx>
        <c:axId val="119131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162575"/>
        <c:crosses val="autoZero"/>
        <c:auto val="1"/>
        <c:lblAlgn val="ctr"/>
        <c:lblOffset val="100"/>
        <c:noMultiLvlLbl val="0"/>
      </c:catAx>
      <c:valAx>
        <c:axId val="1149162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311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January 2026 Forecast Comparison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Forecasting!$T$1</c:f>
              <c:strCache>
                <c:ptCount val="1"/>
                <c:pt idx="0">
                  <c:v>Jan-2026 Forecast</c:v>
                </c:pt>
              </c:strCache>
            </c:strRef>
          </c:tx>
          <c:spPr>
            <a:solidFill>
              <a:schemeClr val="accent1"/>
            </a:solidFill>
            <a:ln>
              <a:noFill/>
            </a:ln>
            <a:effectLst/>
          </c:spPr>
          <c:invertIfNegative val="0"/>
          <c:cat>
            <c:strRef>
              <c:f>Forecasting!$S$2:$S$3</c:f>
              <c:strCache>
                <c:ptCount val="2"/>
                <c:pt idx="0">
                  <c:v>3-Month Moving Average</c:v>
                </c:pt>
                <c:pt idx="1">
                  <c:v>Exponential Smoothing</c:v>
                </c:pt>
              </c:strCache>
            </c:strRef>
          </c:cat>
          <c:val>
            <c:numRef>
              <c:f>Forecasting!$T$2:$T$3</c:f>
              <c:numCache>
                <c:formatCode>General</c:formatCode>
                <c:ptCount val="2"/>
                <c:pt idx="0" formatCode="#,##0">
                  <c:v>29750</c:v>
                </c:pt>
                <c:pt idx="1">
                  <c:v>27819.35</c:v>
                </c:pt>
              </c:numCache>
            </c:numRef>
          </c:val>
          <c:extLst>
            <c:ext xmlns:c16="http://schemas.microsoft.com/office/drawing/2014/chart" uri="{C3380CC4-5D6E-409C-BE32-E72D297353CC}">
              <c16:uniqueId val="{00000000-7C82-4873-9B13-0130783FC0A7}"/>
            </c:ext>
          </c:extLst>
        </c:ser>
        <c:dLbls>
          <c:showLegendKey val="0"/>
          <c:showVal val="0"/>
          <c:showCatName val="0"/>
          <c:showSerName val="0"/>
          <c:showPercent val="0"/>
          <c:showBubbleSize val="0"/>
        </c:dLbls>
        <c:gapWidth val="219"/>
        <c:overlap val="-27"/>
        <c:axId val="1226509359"/>
        <c:axId val="1149176495"/>
      </c:barChart>
      <c:catAx>
        <c:axId val="122650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176495"/>
        <c:crosses val="autoZero"/>
        <c:auto val="1"/>
        <c:lblAlgn val="ctr"/>
        <c:lblOffset val="100"/>
        <c:noMultiLvlLbl val="0"/>
      </c:catAx>
      <c:valAx>
        <c:axId val="11491764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50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Regression Analysis of Monthly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Forecasting!$Z$1</c:f>
              <c:strCache>
                <c:ptCount val="1"/>
                <c:pt idx="0">
                  <c:v>Sales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Forecasting!$Y$2:$Y$13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Forecasting!$Z$2:$Z$13</c:f>
              <c:numCache>
                <c:formatCode>General</c:formatCode>
                <c:ptCount val="12"/>
                <c:pt idx="0">
                  <c:v>14800</c:v>
                </c:pt>
                <c:pt idx="1">
                  <c:v>18600</c:v>
                </c:pt>
                <c:pt idx="2">
                  <c:v>17980</c:v>
                </c:pt>
                <c:pt idx="3">
                  <c:v>20850</c:v>
                </c:pt>
                <c:pt idx="4">
                  <c:v>20400</c:v>
                </c:pt>
                <c:pt idx="5">
                  <c:v>20430</c:v>
                </c:pt>
                <c:pt idx="6">
                  <c:v>24080</c:v>
                </c:pt>
                <c:pt idx="7">
                  <c:v>25170</c:v>
                </c:pt>
                <c:pt idx="8">
                  <c:v>26470</c:v>
                </c:pt>
                <c:pt idx="9">
                  <c:v>28050</c:v>
                </c:pt>
                <c:pt idx="10">
                  <c:v>29650</c:v>
                </c:pt>
                <c:pt idx="11">
                  <c:v>31550</c:v>
                </c:pt>
              </c:numCache>
            </c:numRef>
          </c:yVal>
          <c:smooth val="1"/>
          <c:extLst>
            <c:ext xmlns:c16="http://schemas.microsoft.com/office/drawing/2014/chart" uri="{C3380CC4-5D6E-409C-BE32-E72D297353CC}">
              <c16:uniqueId val="{00000000-A813-400A-98D0-C77A2760CC4B}"/>
            </c:ext>
          </c:extLst>
        </c:ser>
        <c:dLbls>
          <c:showLegendKey val="0"/>
          <c:showVal val="0"/>
          <c:showCatName val="0"/>
          <c:showSerName val="0"/>
          <c:showPercent val="0"/>
          <c:showBubbleSize val="0"/>
        </c:dLbls>
        <c:axId val="1191305567"/>
        <c:axId val="1149178895"/>
      </c:scatterChart>
      <c:valAx>
        <c:axId val="1191305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178895"/>
        <c:crosses val="autoZero"/>
        <c:crossBetween val="midCat"/>
      </c:valAx>
      <c:valAx>
        <c:axId val="114917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3055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Actual Sales vs Forecasted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Forecasting!$AH$1</c:f>
              <c:strCache>
                <c:ptCount val="1"/>
                <c:pt idx="0">
                  <c:v>Moving Average</c:v>
                </c:pt>
              </c:strCache>
            </c:strRef>
          </c:tx>
          <c:spPr>
            <a:ln w="28575" cap="rnd">
              <a:solidFill>
                <a:schemeClr val="accent1"/>
              </a:solidFill>
              <a:round/>
            </a:ln>
            <a:effectLst/>
          </c:spPr>
          <c:marker>
            <c:symbol val="none"/>
          </c:marker>
          <c:cat>
            <c:multiLvlStrRef>
              <c:f>Forecasting!$AF$2:$AG$14</c:f>
              <c:multiLvlStrCache>
                <c:ptCount val="13"/>
                <c:lvl>
                  <c:pt idx="0">
                    <c:v>14800</c:v>
                  </c:pt>
                  <c:pt idx="1">
                    <c:v>18600</c:v>
                  </c:pt>
                  <c:pt idx="2">
                    <c:v>17980</c:v>
                  </c:pt>
                  <c:pt idx="3">
                    <c:v>20850</c:v>
                  </c:pt>
                  <c:pt idx="4">
                    <c:v>20400</c:v>
                  </c:pt>
                  <c:pt idx="5">
                    <c:v>20430</c:v>
                  </c:pt>
                  <c:pt idx="6">
                    <c:v>24080</c:v>
                  </c:pt>
                  <c:pt idx="7">
                    <c:v>25170</c:v>
                  </c:pt>
                  <c:pt idx="8">
                    <c:v>26470</c:v>
                  </c:pt>
                  <c:pt idx="9">
                    <c:v>28050</c:v>
                  </c:pt>
                  <c:pt idx="10">
                    <c:v>29650</c:v>
                  </c:pt>
                  <c:pt idx="11">
                    <c:v>31550</c:v>
                  </c:pt>
                  <c:pt idx="12">
                    <c:v>—</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Jan-26</c:v>
                  </c:pt>
                </c:lvl>
              </c:multiLvlStrCache>
            </c:multiLvlStrRef>
          </c:cat>
          <c:val>
            <c:numRef>
              <c:f>Forecasting!$AH$2:$AH$14</c:f>
              <c:numCache>
                <c:formatCode>General</c:formatCode>
                <c:ptCount val="13"/>
                <c:pt idx="3">
                  <c:v>17126.666666666668</c:v>
                </c:pt>
                <c:pt idx="4">
                  <c:v>19143.333333333332</c:v>
                </c:pt>
                <c:pt idx="5">
                  <c:v>19743.333333333332</c:v>
                </c:pt>
                <c:pt idx="6">
                  <c:v>20560</c:v>
                </c:pt>
                <c:pt idx="7">
                  <c:v>21636.666666666668</c:v>
                </c:pt>
                <c:pt idx="8">
                  <c:v>23226.666666666668</c:v>
                </c:pt>
                <c:pt idx="9">
                  <c:v>25240</c:v>
                </c:pt>
                <c:pt idx="10">
                  <c:v>26563.333333333332</c:v>
                </c:pt>
                <c:pt idx="11">
                  <c:v>28056.666666666668</c:v>
                </c:pt>
                <c:pt idx="12">
                  <c:v>29750</c:v>
                </c:pt>
              </c:numCache>
            </c:numRef>
          </c:val>
          <c:smooth val="0"/>
          <c:extLst>
            <c:ext xmlns:c16="http://schemas.microsoft.com/office/drawing/2014/chart" uri="{C3380CC4-5D6E-409C-BE32-E72D297353CC}">
              <c16:uniqueId val="{00000000-492F-48E1-8AEC-6C68B98F94BC}"/>
            </c:ext>
          </c:extLst>
        </c:ser>
        <c:ser>
          <c:idx val="1"/>
          <c:order val="1"/>
          <c:tx>
            <c:strRef>
              <c:f>Forecasting!$AI$1</c:f>
              <c:strCache>
                <c:ptCount val="1"/>
                <c:pt idx="0">
                  <c:v>Exponential Smoothing</c:v>
                </c:pt>
              </c:strCache>
            </c:strRef>
          </c:tx>
          <c:spPr>
            <a:ln w="28575" cap="rnd">
              <a:solidFill>
                <a:schemeClr val="accent2"/>
              </a:solidFill>
              <a:round/>
            </a:ln>
            <a:effectLst/>
          </c:spPr>
          <c:marker>
            <c:symbol val="none"/>
          </c:marker>
          <c:cat>
            <c:multiLvlStrRef>
              <c:f>Forecasting!$AF$2:$AG$14</c:f>
              <c:multiLvlStrCache>
                <c:ptCount val="13"/>
                <c:lvl>
                  <c:pt idx="0">
                    <c:v>14800</c:v>
                  </c:pt>
                  <c:pt idx="1">
                    <c:v>18600</c:v>
                  </c:pt>
                  <c:pt idx="2">
                    <c:v>17980</c:v>
                  </c:pt>
                  <c:pt idx="3">
                    <c:v>20850</c:v>
                  </c:pt>
                  <c:pt idx="4">
                    <c:v>20400</c:v>
                  </c:pt>
                  <c:pt idx="5">
                    <c:v>20430</c:v>
                  </c:pt>
                  <c:pt idx="6">
                    <c:v>24080</c:v>
                  </c:pt>
                  <c:pt idx="7">
                    <c:v>25170</c:v>
                  </c:pt>
                  <c:pt idx="8">
                    <c:v>26470</c:v>
                  </c:pt>
                  <c:pt idx="9">
                    <c:v>28050</c:v>
                  </c:pt>
                  <c:pt idx="10">
                    <c:v>29650</c:v>
                  </c:pt>
                  <c:pt idx="11">
                    <c:v>31550</c:v>
                  </c:pt>
                  <c:pt idx="12">
                    <c:v>—</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Jan-26</c:v>
                  </c:pt>
                </c:lvl>
              </c:multiLvlStrCache>
            </c:multiLvlStrRef>
          </c:cat>
          <c:val>
            <c:numRef>
              <c:f>Forecasting!$AI$2:$AI$14</c:f>
              <c:numCache>
                <c:formatCode>General</c:formatCode>
                <c:ptCount val="13"/>
                <c:pt idx="0">
                  <c:v>14800</c:v>
                </c:pt>
                <c:pt idx="1">
                  <c:v>14800</c:v>
                </c:pt>
                <c:pt idx="2">
                  <c:v>15940</c:v>
                </c:pt>
                <c:pt idx="3">
                  <c:v>16552</c:v>
                </c:pt>
                <c:pt idx="4">
                  <c:v>16724.400000000001</c:v>
                </c:pt>
                <c:pt idx="5">
                  <c:v>17450.079999999998</c:v>
                </c:pt>
                <c:pt idx="6">
                  <c:v>18138.055999999997</c:v>
                </c:pt>
                <c:pt idx="7">
                  <c:v>18864.639199999998</c:v>
                </c:pt>
                <c:pt idx="8">
                  <c:v>19696.247439999999</c:v>
                </c:pt>
                <c:pt idx="9">
                  <c:v>20755.373207999997</c:v>
                </c:pt>
                <c:pt idx="10">
                  <c:v>22100.761245599999</c:v>
                </c:pt>
                <c:pt idx="11">
                  <c:v>23439.532871919997</c:v>
                </c:pt>
                <c:pt idx="12">
                  <c:v>24824.673010343999</c:v>
                </c:pt>
              </c:numCache>
            </c:numRef>
          </c:val>
          <c:smooth val="0"/>
          <c:extLst>
            <c:ext xmlns:c16="http://schemas.microsoft.com/office/drawing/2014/chart" uri="{C3380CC4-5D6E-409C-BE32-E72D297353CC}">
              <c16:uniqueId val="{00000001-492F-48E1-8AEC-6C68B98F94BC}"/>
            </c:ext>
          </c:extLst>
        </c:ser>
        <c:ser>
          <c:idx val="2"/>
          <c:order val="2"/>
          <c:tx>
            <c:strRef>
              <c:f>Forecasting!$AJ$1</c:f>
              <c:strCache>
                <c:ptCount val="1"/>
                <c:pt idx="0">
                  <c:v>Regression</c:v>
                </c:pt>
              </c:strCache>
            </c:strRef>
          </c:tx>
          <c:spPr>
            <a:ln w="28575" cap="rnd">
              <a:solidFill>
                <a:schemeClr val="accent3"/>
              </a:solidFill>
              <a:round/>
            </a:ln>
            <a:effectLst/>
          </c:spPr>
          <c:marker>
            <c:symbol val="none"/>
          </c:marker>
          <c:cat>
            <c:multiLvlStrRef>
              <c:f>Forecasting!$AF$2:$AG$14</c:f>
              <c:multiLvlStrCache>
                <c:ptCount val="13"/>
                <c:lvl>
                  <c:pt idx="0">
                    <c:v>14800</c:v>
                  </c:pt>
                  <c:pt idx="1">
                    <c:v>18600</c:v>
                  </c:pt>
                  <c:pt idx="2">
                    <c:v>17980</c:v>
                  </c:pt>
                  <c:pt idx="3">
                    <c:v>20850</c:v>
                  </c:pt>
                  <c:pt idx="4">
                    <c:v>20400</c:v>
                  </c:pt>
                  <c:pt idx="5">
                    <c:v>20430</c:v>
                  </c:pt>
                  <c:pt idx="6">
                    <c:v>24080</c:v>
                  </c:pt>
                  <c:pt idx="7">
                    <c:v>25170</c:v>
                  </c:pt>
                  <c:pt idx="8">
                    <c:v>26470</c:v>
                  </c:pt>
                  <c:pt idx="9">
                    <c:v>28050</c:v>
                  </c:pt>
                  <c:pt idx="10">
                    <c:v>29650</c:v>
                  </c:pt>
                  <c:pt idx="11">
                    <c:v>31550</c:v>
                  </c:pt>
                  <c:pt idx="12">
                    <c:v>—</c:v>
                  </c:pt>
                </c:lvl>
                <c:lvl>
                  <c:pt idx="0">
                    <c:v>Jan</c:v>
                  </c:pt>
                  <c:pt idx="1">
                    <c:v>Feb</c:v>
                  </c:pt>
                  <c:pt idx="2">
                    <c:v>Mar</c:v>
                  </c:pt>
                  <c:pt idx="3">
                    <c:v>Apr</c:v>
                  </c:pt>
                  <c:pt idx="4">
                    <c:v>May</c:v>
                  </c:pt>
                  <c:pt idx="5">
                    <c:v>Jun</c:v>
                  </c:pt>
                  <c:pt idx="6">
                    <c:v>Jul</c:v>
                  </c:pt>
                  <c:pt idx="7">
                    <c:v>Aug</c:v>
                  </c:pt>
                  <c:pt idx="8">
                    <c:v>Sep</c:v>
                  </c:pt>
                  <c:pt idx="9">
                    <c:v>Oct</c:v>
                  </c:pt>
                  <c:pt idx="10">
                    <c:v>Nov</c:v>
                  </c:pt>
                  <c:pt idx="11">
                    <c:v>Dec</c:v>
                  </c:pt>
                  <c:pt idx="12">
                    <c:v>Jan-26</c:v>
                  </c:pt>
                </c:lvl>
              </c:multiLvlStrCache>
            </c:multiLvlStrRef>
          </c:cat>
          <c:val>
            <c:numRef>
              <c:f>Forecasting!$AJ$2:$AJ$14</c:f>
              <c:numCache>
                <c:formatCode>General</c:formatCode>
                <c:ptCount val="13"/>
                <c:pt idx="0">
                  <c:v>0.96513277897487038</c:v>
                </c:pt>
                <c:pt idx="1">
                  <c:v>0.96513277897487038</c:v>
                </c:pt>
                <c:pt idx="2">
                  <c:v>0.96513277897487038</c:v>
                </c:pt>
                <c:pt idx="3">
                  <c:v>0.96513277897487038</c:v>
                </c:pt>
                <c:pt idx="4">
                  <c:v>0.96513277897487038</c:v>
                </c:pt>
                <c:pt idx="5">
                  <c:v>0.96513277897487038</c:v>
                </c:pt>
                <c:pt idx="6">
                  <c:v>0.96513277897487038</c:v>
                </c:pt>
                <c:pt idx="7">
                  <c:v>0.96513277897487038</c:v>
                </c:pt>
                <c:pt idx="8">
                  <c:v>0.96513277897487038</c:v>
                </c:pt>
                <c:pt idx="9">
                  <c:v>0.96513277897487038</c:v>
                </c:pt>
                <c:pt idx="10">
                  <c:v>0.96513277897487038</c:v>
                </c:pt>
                <c:pt idx="11">
                  <c:v>0.96513277897487038</c:v>
                </c:pt>
                <c:pt idx="12">
                  <c:v>0.96513277897487038</c:v>
                </c:pt>
              </c:numCache>
            </c:numRef>
          </c:val>
          <c:smooth val="0"/>
          <c:extLst>
            <c:ext xmlns:c16="http://schemas.microsoft.com/office/drawing/2014/chart" uri="{C3380CC4-5D6E-409C-BE32-E72D297353CC}">
              <c16:uniqueId val="{00000002-492F-48E1-8AEC-6C68B98F94BC}"/>
            </c:ext>
          </c:extLst>
        </c:ser>
        <c:dLbls>
          <c:showLegendKey val="0"/>
          <c:showVal val="0"/>
          <c:showCatName val="0"/>
          <c:showSerName val="0"/>
          <c:showPercent val="0"/>
          <c:showBubbleSize val="0"/>
        </c:dLbls>
        <c:smooth val="0"/>
        <c:axId val="1222479279"/>
        <c:axId val="1149187535"/>
      </c:lineChart>
      <c:catAx>
        <c:axId val="122247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187535"/>
        <c:crosses val="autoZero"/>
        <c:auto val="1"/>
        <c:lblAlgn val="ctr"/>
        <c:lblOffset val="100"/>
        <c:noMultiLvlLbl val="0"/>
      </c:catAx>
      <c:valAx>
        <c:axId val="114918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479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342906</xdr:colOff>
      <xdr:row>1</xdr:row>
      <xdr:rowOff>156210</xdr:rowOff>
    </xdr:from>
    <xdr:to>
      <xdr:col>10</xdr:col>
      <xdr:colOff>38106</xdr:colOff>
      <xdr:row>16</xdr:row>
      <xdr:rowOff>156210</xdr:rowOff>
    </xdr:to>
    <xdr:graphicFrame macro="">
      <xdr:nvGraphicFramePr>
        <xdr:cNvPr id="2" name="Chart 1">
          <a:extLst>
            <a:ext uri="{FF2B5EF4-FFF2-40B4-BE49-F238E27FC236}">
              <a16:creationId xmlns:a16="http://schemas.microsoft.com/office/drawing/2014/main" id="{FCBD5F50-6835-BABD-B569-D2050DB2A7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381000</xdr:colOff>
      <xdr:row>18</xdr:row>
      <xdr:rowOff>171450</xdr:rowOff>
    </xdr:from>
    <xdr:to>
      <xdr:col>10</xdr:col>
      <xdr:colOff>76200</xdr:colOff>
      <xdr:row>33</xdr:row>
      <xdr:rowOff>171450</xdr:rowOff>
    </xdr:to>
    <xdr:graphicFrame macro="">
      <xdr:nvGraphicFramePr>
        <xdr:cNvPr id="3" name="Chart 2">
          <a:extLst>
            <a:ext uri="{FF2B5EF4-FFF2-40B4-BE49-F238E27FC236}">
              <a16:creationId xmlns:a16="http://schemas.microsoft.com/office/drawing/2014/main" id="{C7A065E7-0CAC-B989-48B7-E0EE9D0BF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60966</xdr:colOff>
      <xdr:row>2</xdr:row>
      <xdr:rowOff>26670</xdr:rowOff>
    </xdr:from>
    <xdr:to>
      <xdr:col>9</xdr:col>
      <xdr:colOff>365766</xdr:colOff>
      <xdr:row>17</xdr:row>
      <xdr:rowOff>26670</xdr:rowOff>
    </xdr:to>
    <xdr:graphicFrame macro="">
      <xdr:nvGraphicFramePr>
        <xdr:cNvPr id="2" name="Chart 1">
          <a:extLst>
            <a:ext uri="{FF2B5EF4-FFF2-40B4-BE49-F238E27FC236}">
              <a16:creationId xmlns:a16="http://schemas.microsoft.com/office/drawing/2014/main" id="{A3A5DD4A-F648-8603-3D94-31CD50FE0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137160</xdr:colOff>
      <xdr:row>20</xdr:row>
      <xdr:rowOff>3810</xdr:rowOff>
    </xdr:from>
    <xdr:to>
      <xdr:col>11</xdr:col>
      <xdr:colOff>441960</xdr:colOff>
      <xdr:row>35</xdr:row>
      <xdr:rowOff>3810</xdr:rowOff>
    </xdr:to>
    <xdr:graphicFrame macro="">
      <xdr:nvGraphicFramePr>
        <xdr:cNvPr id="5" name="Chart 4">
          <a:extLst>
            <a:ext uri="{FF2B5EF4-FFF2-40B4-BE49-F238E27FC236}">
              <a16:creationId xmlns:a16="http://schemas.microsoft.com/office/drawing/2014/main" id="{E7858E6A-9B4A-AA95-F157-D417B99C2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137166</xdr:colOff>
      <xdr:row>37</xdr:row>
      <xdr:rowOff>3810</xdr:rowOff>
    </xdr:from>
    <xdr:to>
      <xdr:col>10</xdr:col>
      <xdr:colOff>30486</xdr:colOff>
      <xdr:row>52</xdr:row>
      <xdr:rowOff>3810</xdr:rowOff>
    </xdr:to>
    <xdr:graphicFrame macro="">
      <xdr:nvGraphicFramePr>
        <xdr:cNvPr id="6" name="Chart 5">
          <a:extLst>
            <a:ext uri="{FF2B5EF4-FFF2-40B4-BE49-F238E27FC236}">
              <a16:creationId xmlns:a16="http://schemas.microsoft.com/office/drawing/2014/main" id="{DEA81B2D-479D-DD27-B23F-B41D1E863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152400</xdr:colOff>
      <xdr:row>56</xdr:row>
      <xdr:rowOff>64770</xdr:rowOff>
    </xdr:from>
    <xdr:to>
      <xdr:col>7</xdr:col>
      <xdr:colOff>396240</xdr:colOff>
      <xdr:row>71</xdr:row>
      <xdr:rowOff>64770</xdr:rowOff>
    </xdr:to>
    <xdr:graphicFrame macro="">
      <xdr:nvGraphicFramePr>
        <xdr:cNvPr id="7" name="Chart 6">
          <a:extLst>
            <a:ext uri="{FF2B5EF4-FFF2-40B4-BE49-F238E27FC236}">
              <a16:creationId xmlns:a16="http://schemas.microsoft.com/office/drawing/2014/main" id="{1B79E874-1D24-588A-68BB-BD5EFA9F9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304800</xdr:colOff>
      <xdr:row>16</xdr:row>
      <xdr:rowOff>0</xdr:rowOff>
    </xdr:to>
    <xdr:graphicFrame macro="">
      <xdr:nvGraphicFramePr>
        <xdr:cNvPr id="2" name="Chart 1">
          <a:extLst>
            <a:ext uri="{FF2B5EF4-FFF2-40B4-BE49-F238E27FC236}">
              <a16:creationId xmlns:a16="http://schemas.microsoft.com/office/drawing/2014/main" id="{3857873D-FC2A-4E2C-9F59-EFC255DDC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16</xdr:col>
      <xdr:colOff>121920</xdr:colOff>
      <xdr:row>16</xdr:row>
      <xdr:rowOff>0</xdr:rowOff>
    </xdr:to>
    <xdr:graphicFrame macro="">
      <xdr:nvGraphicFramePr>
        <xdr:cNvPr id="3" name="Chart 2">
          <a:extLst>
            <a:ext uri="{FF2B5EF4-FFF2-40B4-BE49-F238E27FC236}">
              <a16:creationId xmlns:a16="http://schemas.microsoft.com/office/drawing/2014/main" id="{EB024F67-235D-487F-8B69-16DE565E2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0</xdr:rowOff>
    </xdr:from>
    <xdr:to>
      <xdr:col>7</xdr:col>
      <xdr:colOff>306647</xdr:colOff>
      <xdr:row>35</xdr:row>
      <xdr:rowOff>27709</xdr:rowOff>
    </xdr:to>
    <xdr:graphicFrame macro="">
      <xdr:nvGraphicFramePr>
        <xdr:cNvPr id="4" name="Chart 3">
          <a:extLst>
            <a:ext uri="{FF2B5EF4-FFF2-40B4-BE49-F238E27FC236}">
              <a16:creationId xmlns:a16="http://schemas.microsoft.com/office/drawing/2014/main" id="{2F41B625-BB85-46F1-89C5-EE55EDF21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20</xdr:row>
      <xdr:rowOff>0</xdr:rowOff>
    </xdr:from>
    <xdr:to>
      <xdr:col>16</xdr:col>
      <xdr:colOff>304800</xdr:colOff>
      <xdr:row>35</xdr:row>
      <xdr:rowOff>0</xdr:rowOff>
    </xdr:to>
    <xdr:graphicFrame macro="">
      <xdr:nvGraphicFramePr>
        <xdr:cNvPr id="5" name="Chart 4">
          <a:extLst>
            <a:ext uri="{FF2B5EF4-FFF2-40B4-BE49-F238E27FC236}">
              <a16:creationId xmlns:a16="http://schemas.microsoft.com/office/drawing/2014/main" id="{79704358-A2C6-42C8-934E-A868C6FA4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xdr:colOff>
      <xdr:row>8</xdr:row>
      <xdr:rowOff>140970</xdr:rowOff>
    </xdr:from>
    <xdr:to>
      <xdr:col>5</xdr:col>
      <xdr:colOff>281946</xdr:colOff>
      <xdr:row>23</xdr:row>
      <xdr:rowOff>140970</xdr:rowOff>
    </xdr:to>
    <xdr:graphicFrame macro="">
      <xdr:nvGraphicFramePr>
        <xdr:cNvPr id="2" name="Chart 1">
          <a:extLst>
            <a:ext uri="{FF2B5EF4-FFF2-40B4-BE49-F238E27FC236}">
              <a16:creationId xmlns:a16="http://schemas.microsoft.com/office/drawing/2014/main" id="{8430F697-D0DA-2E6C-DBAF-F42A7C383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xdr:colOff>
      <xdr:row>25</xdr:row>
      <xdr:rowOff>7620</xdr:rowOff>
    </xdr:from>
    <xdr:to>
      <xdr:col>2</xdr:col>
      <xdr:colOff>160020</xdr:colOff>
      <xdr:row>38</xdr:row>
      <xdr:rowOff>97155</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1F4F36CF-92F3-8402-2C0C-5594B31FD6C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2860" y="4579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236220</xdr:colOff>
      <xdr:row>25</xdr:row>
      <xdr:rowOff>0</xdr:rowOff>
    </xdr:from>
    <xdr:to>
      <xdr:col>4</xdr:col>
      <xdr:colOff>76200</xdr:colOff>
      <xdr:row>38</xdr:row>
      <xdr:rowOff>89535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20F722B0-C5F3-AD22-BB91-4E8E58132D1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27860" y="4572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160020</xdr:colOff>
      <xdr:row>25</xdr:row>
      <xdr:rowOff>0</xdr:rowOff>
    </xdr:from>
    <xdr:to>
      <xdr:col>7</xdr:col>
      <xdr:colOff>160020</xdr:colOff>
      <xdr:row>38</xdr:row>
      <xdr:rowOff>89535</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972BBF66-4D2B-C384-5F52-4197BE72621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840480" y="4572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39</xdr:row>
      <xdr:rowOff>7620</xdr:rowOff>
    </xdr:from>
    <xdr:to>
      <xdr:col>2</xdr:col>
      <xdr:colOff>167640</xdr:colOff>
      <xdr:row>52</xdr:row>
      <xdr:rowOff>97155</xdr:rowOff>
    </xdr:to>
    <mc:AlternateContent xmlns:mc="http://schemas.openxmlformats.org/markup-compatibility/2006">
      <mc:Choice xmlns:a14="http://schemas.microsoft.com/office/drawing/2010/main" Requires="a14">
        <xdr:graphicFrame macro="">
          <xdr:nvGraphicFramePr>
            <xdr:cNvPr id="6" name="Channel">
              <a:extLst>
                <a:ext uri="{FF2B5EF4-FFF2-40B4-BE49-F238E27FC236}">
                  <a16:creationId xmlns:a16="http://schemas.microsoft.com/office/drawing/2014/main" id="{1974C374-1DA9-D3FE-1086-2A135A47538F}"/>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30480" y="7139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243840</xdr:colOff>
      <xdr:row>39</xdr:row>
      <xdr:rowOff>0</xdr:rowOff>
    </xdr:from>
    <xdr:to>
      <xdr:col>4</xdr:col>
      <xdr:colOff>83820</xdr:colOff>
      <xdr:row>52</xdr:row>
      <xdr:rowOff>89535</xdr:rowOff>
    </xdr:to>
    <mc:AlternateContent xmlns:mc="http://schemas.openxmlformats.org/markup-compatibility/2006">
      <mc:Choice xmlns:a14="http://schemas.microsoft.com/office/drawing/2010/main" Requires="a14">
        <xdr:graphicFrame macro="">
          <xdr:nvGraphicFramePr>
            <xdr:cNvPr id="7" name="Age Group">
              <a:extLst>
                <a:ext uri="{FF2B5EF4-FFF2-40B4-BE49-F238E27FC236}">
                  <a16:creationId xmlns:a16="http://schemas.microsoft.com/office/drawing/2014/main" id="{BC246A2D-1817-D9E0-4D95-5ACA1464BBEB}"/>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935480" y="7132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11</xdr:row>
      <xdr:rowOff>7620</xdr:rowOff>
    </xdr:from>
    <xdr:to>
      <xdr:col>6</xdr:col>
      <xdr:colOff>236220</xdr:colOff>
      <xdr:row>26</xdr:row>
      <xdr:rowOff>7620</xdr:rowOff>
    </xdr:to>
    <xdr:graphicFrame macro="">
      <xdr:nvGraphicFramePr>
        <xdr:cNvPr id="2" name="Chart 1">
          <a:extLst>
            <a:ext uri="{FF2B5EF4-FFF2-40B4-BE49-F238E27FC236}">
              <a16:creationId xmlns:a16="http://schemas.microsoft.com/office/drawing/2014/main" id="{9B4D059A-5CC8-4D4C-A01D-0822E21F2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11</xdr:row>
      <xdr:rowOff>0</xdr:rowOff>
    </xdr:from>
    <xdr:to>
      <xdr:col>13</xdr:col>
      <xdr:colOff>205740</xdr:colOff>
      <xdr:row>26</xdr:row>
      <xdr:rowOff>0</xdr:rowOff>
    </xdr:to>
    <xdr:graphicFrame macro="">
      <xdr:nvGraphicFramePr>
        <xdr:cNvPr id="3" name="Chart 2">
          <a:extLst>
            <a:ext uri="{FF2B5EF4-FFF2-40B4-BE49-F238E27FC236}">
              <a16:creationId xmlns:a16="http://schemas.microsoft.com/office/drawing/2014/main" id="{0A954297-D324-4D1C-9BB0-678F8D811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6</xdr:col>
      <xdr:colOff>334818</xdr:colOff>
      <xdr:row>43</xdr:row>
      <xdr:rowOff>0</xdr:rowOff>
    </xdr:to>
    <xdr:graphicFrame macro="">
      <xdr:nvGraphicFramePr>
        <xdr:cNvPr id="4" name="Chart 3">
          <a:extLst>
            <a:ext uri="{FF2B5EF4-FFF2-40B4-BE49-F238E27FC236}">
              <a16:creationId xmlns:a16="http://schemas.microsoft.com/office/drawing/2014/main" id="{89FA1055-A18A-4588-B410-1F51A4432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28</xdr:row>
      <xdr:rowOff>0</xdr:rowOff>
    </xdr:from>
    <xdr:to>
      <xdr:col>13</xdr:col>
      <xdr:colOff>236220</xdr:colOff>
      <xdr:row>43</xdr:row>
      <xdr:rowOff>0</xdr:rowOff>
    </xdr:to>
    <xdr:graphicFrame macro="">
      <xdr:nvGraphicFramePr>
        <xdr:cNvPr id="5" name="Chart 4">
          <a:extLst>
            <a:ext uri="{FF2B5EF4-FFF2-40B4-BE49-F238E27FC236}">
              <a16:creationId xmlns:a16="http://schemas.microsoft.com/office/drawing/2014/main" id="{D29FE092-2B8B-4DA0-B7F4-36866E7D9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44</xdr:row>
      <xdr:rowOff>0</xdr:rowOff>
    </xdr:from>
    <xdr:to>
      <xdr:col>10</xdr:col>
      <xdr:colOff>288636</xdr:colOff>
      <xdr:row>58</xdr:row>
      <xdr:rowOff>157018</xdr:rowOff>
    </xdr:to>
    <xdr:graphicFrame macro="">
      <xdr:nvGraphicFramePr>
        <xdr:cNvPr id="6" name="Chart 5">
          <a:extLst>
            <a:ext uri="{FF2B5EF4-FFF2-40B4-BE49-F238E27FC236}">
              <a16:creationId xmlns:a16="http://schemas.microsoft.com/office/drawing/2014/main" id="{DE20704E-8476-44AA-B156-3EA65EE1A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369810</xdr:colOff>
      <xdr:row>11</xdr:row>
      <xdr:rowOff>32557</xdr:rowOff>
    </xdr:from>
    <xdr:to>
      <xdr:col>16</xdr:col>
      <xdr:colOff>374251</xdr:colOff>
      <xdr:row>24</xdr:row>
      <xdr:rowOff>98078</xdr:rowOff>
    </xdr:to>
    <mc:AlternateContent xmlns:mc="http://schemas.openxmlformats.org/markup-compatibility/2006">
      <mc:Choice xmlns:a14="http://schemas.microsoft.com/office/drawing/2010/main" Requires="a14">
        <xdr:graphicFrame macro="">
          <xdr:nvGraphicFramePr>
            <xdr:cNvPr id="7" name="City 1">
              <a:extLst>
                <a:ext uri="{FF2B5EF4-FFF2-40B4-BE49-F238E27FC236}">
                  <a16:creationId xmlns:a16="http://schemas.microsoft.com/office/drawing/2014/main" id="{FB287C37-B606-9832-F663-EF49CDCBFD4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8282887" y="2095819"/>
              <a:ext cx="1833241" cy="2503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608305</xdr:colOff>
      <xdr:row>11</xdr:row>
      <xdr:rowOff>51155</xdr:rowOff>
    </xdr:from>
    <xdr:to>
      <xdr:col>19</xdr:col>
      <xdr:colOff>601377</xdr:colOff>
      <xdr:row>24</xdr:row>
      <xdr:rowOff>116676</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204975CA-D3B5-E2BD-5C60-4C1BC3B90CA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350182" y="2114417"/>
              <a:ext cx="1821872" cy="2503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167036</xdr:colOff>
      <xdr:row>11</xdr:row>
      <xdr:rowOff>46306</xdr:rowOff>
    </xdr:from>
    <xdr:to>
      <xdr:col>23</xdr:col>
      <xdr:colOff>160109</xdr:colOff>
      <xdr:row>24</xdr:row>
      <xdr:rowOff>111827</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C91E321B-2AD1-00A4-994C-73FE848AE84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347313" y="2109568"/>
              <a:ext cx="1821873" cy="2503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393629</xdr:colOff>
      <xdr:row>11</xdr:row>
      <xdr:rowOff>53357</xdr:rowOff>
    </xdr:from>
    <xdr:to>
      <xdr:col>26</xdr:col>
      <xdr:colOff>386702</xdr:colOff>
      <xdr:row>24</xdr:row>
      <xdr:rowOff>118878</xdr:rowOff>
    </xdr:to>
    <mc:AlternateContent xmlns:mc="http://schemas.openxmlformats.org/markup-compatibility/2006">
      <mc:Choice xmlns:a14="http://schemas.microsoft.com/office/drawing/2010/main" Requires="a14">
        <xdr:graphicFrame macro="">
          <xdr:nvGraphicFramePr>
            <xdr:cNvPr id="10" name="Channel 1">
              <a:extLst>
                <a:ext uri="{FF2B5EF4-FFF2-40B4-BE49-F238E27FC236}">
                  <a16:creationId xmlns:a16="http://schemas.microsoft.com/office/drawing/2014/main" id="{44ACCA4D-ADEF-12C4-6E55-52DEECC6ECAA}"/>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14402706" y="2116619"/>
              <a:ext cx="1821873" cy="2503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19325</xdr:colOff>
      <xdr:row>11</xdr:row>
      <xdr:rowOff>83500</xdr:rowOff>
    </xdr:from>
    <xdr:to>
      <xdr:col>30</xdr:col>
      <xdr:colOff>12397</xdr:colOff>
      <xdr:row>24</xdr:row>
      <xdr:rowOff>149021</xdr:rowOff>
    </xdr:to>
    <mc:AlternateContent xmlns:mc="http://schemas.openxmlformats.org/markup-compatibility/2006">
      <mc:Choice xmlns:a14="http://schemas.microsoft.com/office/drawing/2010/main" Requires="a14">
        <xdr:graphicFrame macro="">
          <xdr:nvGraphicFramePr>
            <xdr:cNvPr id="11" name="Age Group 1">
              <a:extLst>
                <a:ext uri="{FF2B5EF4-FFF2-40B4-BE49-F238E27FC236}">
                  <a16:creationId xmlns:a16="http://schemas.microsoft.com/office/drawing/2014/main" id="{8BE756D7-D252-19BC-7BE9-E2CB67FD8244}"/>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16466802" y="2146762"/>
              <a:ext cx="1821872" cy="2503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390940</xdr:colOff>
      <xdr:row>28</xdr:row>
      <xdr:rowOff>3313</xdr:rowOff>
    </xdr:from>
    <xdr:to>
      <xdr:col>3</xdr:col>
      <xdr:colOff>1192697</xdr:colOff>
      <xdr:row>42</xdr:row>
      <xdr:rowOff>149087</xdr:rowOff>
    </xdr:to>
    <xdr:graphicFrame macro="">
      <xdr:nvGraphicFramePr>
        <xdr:cNvPr id="2" name="Chart 1">
          <a:extLst>
            <a:ext uri="{FF2B5EF4-FFF2-40B4-BE49-F238E27FC236}">
              <a16:creationId xmlns:a16="http://schemas.microsoft.com/office/drawing/2014/main" id="{847E79AA-C5D3-6F6C-A4C6-F8A481443C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13253</xdr:colOff>
      <xdr:row>15</xdr:row>
      <xdr:rowOff>182217</xdr:rowOff>
    </xdr:from>
    <xdr:to>
      <xdr:col>9</xdr:col>
      <xdr:colOff>549966</xdr:colOff>
      <xdr:row>30</xdr:row>
      <xdr:rowOff>142461</xdr:rowOff>
    </xdr:to>
    <xdr:graphicFrame macro="">
      <xdr:nvGraphicFramePr>
        <xdr:cNvPr id="3" name="Chart 2">
          <a:extLst>
            <a:ext uri="{FF2B5EF4-FFF2-40B4-BE49-F238E27FC236}">
              <a16:creationId xmlns:a16="http://schemas.microsoft.com/office/drawing/2014/main" id="{38946A76-93C3-86FE-044A-9C4983B32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1034143</xdr:colOff>
      <xdr:row>15</xdr:row>
      <xdr:rowOff>62981</xdr:rowOff>
    </xdr:from>
    <xdr:to>
      <xdr:col>16</xdr:col>
      <xdr:colOff>108858</xdr:colOff>
      <xdr:row>30</xdr:row>
      <xdr:rowOff>6998</xdr:rowOff>
    </xdr:to>
    <xdr:graphicFrame macro="">
      <xdr:nvGraphicFramePr>
        <xdr:cNvPr id="4" name="Chart 3">
          <a:extLst>
            <a:ext uri="{FF2B5EF4-FFF2-40B4-BE49-F238E27FC236}">
              <a16:creationId xmlns:a16="http://schemas.microsoft.com/office/drawing/2014/main" id="{2A607232-E77F-8B31-7B73-DBF3536A8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357673</xdr:colOff>
      <xdr:row>6</xdr:row>
      <xdr:rowOff>148511</xdr:rowOff>
    </xdr:from>
    <xdr:to>
      <xdr:col>23</xdr:col>
      <xdr:colOff>217714</xdr:colOff>
      <xdr:row>22</xdr:row>
      <xdr:rowOff>84753</xdr:rowOff>
    </xdr:to>
    <xdr:graphicFrame macro="">
      <xdr:nvGraphicFramePr>
        <xdr:cNvPr id="5" name="Chart 4">
          <a:extLst>
            <a:ext uri="{FF2B5EF4-FFF2-40B4-BE49-F238E27FC236}">
              <a16:creationId xmlns:a16="http://schemas.microsoft.com/office/drawing/2014/main" id="{0E419B73-B8FB-4CC4-1E49-F302A0C82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155510</xdr:colOff>
      <xdr:row>15</xdr:row>
      <xdr:rowOff>62982</xdr:rowOff>
    </xdr:from>
    <xdr:to>
      <xdr:col>30</xdr:col>
      <xdr:colOff>194388</xdr:colOff>
      <xdr:row>30</xdr:row>
      <xdr:rowOff>6999</xdr:rowOff>
    </xdr:to>
    <xdr:graphicFrame macro="">
      <xdr:nvGraphicFramePr>
        <xdr:cNvPr id="6" name="Chart 5">
          <a:extLst>
            <a:ext uri="{FF2B5EF4-FFF2-40B4-BE49-F238E27FC236}">
              <a16:creationId xmlns:a16="http://schemas.microsoft.com/office/drawing/2014/main" id="{5B48F5F0-9D4F-A922-F8F9-7B6420994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202163</xdr:colOff>
      <xdr:row>15</xdr:row>
      <xdr:rowOff>55206</xdr:rowOff>
    </xdr:from>
    <xdr:to>
      <xdr:col>35</xdr:col>
      <xdr:colOff>606490</xdr:colOff>
      <xdr:row>29</xdr:row>
      <xdr:rowOff>185835</xdr:rowOff>
    </xdr:to>
    <xdr:graphicFrame macro="">
      <xdr:nvGraphicFramePr>
        <xdr:cNvPr id="8" name="Chart 7">
          <a:extLst>
            <a:ext uri="{FF2B5EF4-FFF2-40B4-BE49-F238E27FC236}">
              <a16:creationId xmlns:a16="http://schemas.microsoft.com/office/drawing/2014/main" id="{E752110C-B173-3166-05B1-2EA9C4E58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ya" refreshedDate="46260.772328009261" createdVersion="8" refreshedVersion="8" minRefreshableVersion="3" recordCount="120" xr:uid="{27CBEE34-D3B6-4293-8E3E-487932FB84C6}">
  <cacheSource type="worksheet">
    <worksheetSource ref="A1:L121" sheet="Cleaned Data"/>
  </cacheSource>
  <cacheFields count="12">
    <cacheField name="Order ID" numFmtId="0">
      <sharedItems containsSemiMixedTypes="0" containsString="0" containsNumber="1" containsInteger="1" minValue="1001" maxValue="1120"/>
    </cacheField>
    <cacheField name="Date" numFmtId="14">
      <sharedItems containsSemiMixedTypes="0" containsNonDate="0" containsDate="1" containsString="0" minDate="2025-01-01T00:00:00" maxDate="2025-12-26T00:00:00"/>
    </cacheField>
    <cacheField name="City" numFmtId="0">
      <sharedItems count="6">
        <s v="Bengaluru"/>
        <s v="Mumbai"/>
        <s v="Delhi"/>
        <s v="Pune"/>
        <s v="Chennai"/>
        <s v="Hyderabad"/>
      </sharedItems>
    </cacheField>
    <cacheField name="Category" numFmtId="0">
      <sharedItems count="5">
        <s v="Skincare"/>
        <s v="Haircare"/>
        <s v="Makeup"/>
        <s v="Wellness"/>
        <s v="Fragrance"/>
      </sharedItems>
    </cacheField>
    <cacheField name="Product" numFmtId="0">
      <sharedItems/>
    </cacheField>
    <cacheField name="Age" numFmtId="0">
      <sharedItems containsSemiMixedTypes="0" containsString="0" containsNumber="1" containsInteger="1" minValue="20" maxValue="45"/>
    </cacheField>
    <cacheField name="Gender" numFmtId="0">
      <sharedItems count="2">
        <s v="Female"/>
        <s v="Male"/>
      </sharedItems>
    </cacheField>
    <cacheField name="Sales" numFmtId="164">
      <sharedItems containsSemiMixedTypes="0" containsString="0" containsNumber="1" containsInteger="1" minValue="600" maxValue="6000"/>
    </cacheField>
    <cacheField name="Quantity" numFmtId="0">
      <sharedItems containsSemiMixedTypes="0" containsString="0" containsNumber="1" containsInteger="1" minValue="1" maxValue="3"/>
    </cacheField>
    <cacheField name="Channel" numFmtId="0">
      <sharedItems count="2">
        <s v="Online"/>
        <s v="Retail Store"/>
      </sharedItems>
    </cacheField>
    <cacheField name="Payment Mode" numFmtId="0">
      <sharedItems/>
    </cacheField>
    <cacheField name="Rating" numFmtId="0">
      <sharedItems containsSemiMixedTypes="0" containsString="0" containsNumber="1" minValue="3.7"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ya" refreshedDate="46260.862069444447" createdVersion="8" refreshedVersion="8" minRefreshableVersion="3" recordCount="120" xr:uid="{265EEFAA-AD53-47EE-A425-92DF76E5DB68}">
  <cacheSource type="worksheet">
    <worksheetSource ref="A1:M121" sheet="Cleaned Data"/>
  </cacheSource>
  <cacheFields count="15">
    <cacheField name="Order ID" numFmtId="0">
      <sharedItems containsSemiMixedTypes="0" containsString="0" containsNumber="1" containsInteger="1" minValue="1001" maxValue="1120"/>
    </cacheField>
    <cacheField name="Date" numFmtId="14">
      <sharedItems containsSemiMixedTypes="0" containsNonDate="0" containsDate="1" containsString="0" minDate="2025-01-01T00:00:00" maxDate="2025-12-26T00:00:00" count="120">
        <d v="2025-01-01T00:00:00"/>
        <d v="2025-01-03T00:00:00"/>
        <d v="2025-01-05T00:00:00"/>
        <d v="2025-01-08T00:00:00"/>
        <d v="2025-01-12T00:00:00"/>
        <d v="2025-01-15T00:00:00"/>
        <d v="2025-01-18T00:00:00"/>
        <d v="2025-01-22T00:00:00"/>
        <d v="2025-01-25T00:00:00"/>
        <d v="2025-01-28T00:00:00"/>
        <d v="2025-02-02T00:00:00"/>
        <d v="2025-02-05T00:00:00"/>
        <d v="2025-02-08T00:00:00"/>
        <d v="2025-02-11T00:00:00"/>
        <d v="2025-02-14T00:00:00"/>
        <d v="2025-02-17T00:00:00"/>
        <d v="2025-02-20T00:00:00"/>
        <d v="2025-02-23T00:00:00"/>
        <d v="2025-02-26T00:00:00"/>
        <d v="2025-02-28T00:00:00"/>
        <d v="2025-03-03T00:00:00"/>
        <d v="2025-03-05T00:00:00"/>
        <d v="2025-03-07T00:00:00"/>
        <d v="2025-03-09T00:00:00"/>
        <d v="2025-03-11T00:00:00"/>
        <d v="2025-03-13T00:00:00"/>
        <d v="2025-03-15T00:00:00"/>
        <d v="2025-03-17T00:00:00"/>
        <d v="2025-03-20T00:00:00"/>
        <d v="2025-03-23T00:00:00"/>
        <d v="2025-04-02T00:00:00"/>
        <d v="2025-04-04T00:00:00"/>
        <d v="2025-04-06T00:00:00"/>
        <d v="2025-04-08T00:00:00"/>
        <d v="2025-04-10T00:00:00"/>
        <d v="2025-04-12T00:00:00"/>
        <d v="2025-04-15T00:00:00"/>
        <d v="2025-04-18T00:00:00"/>
        <d v="2025-04-21T00:00:00"/>
        <d v="2025-04-25T00:00:00"/>
        <d v="2025-05-02T00:00:00"/>
        <d v="2025-05-04T00:00:00"/>
        <d v="2025-05-06T00:00:00"/>
        <d v="2025-05-08T00:00:00"/>
        <d v="2025-05-10T00:00:00"/>
        <d v="2025-05-13T00:00:00"/>
        <d v="2025-05-16T00:00:00"/>
        <d v="2025-05-19T00:00:00"/>
        <d v="2025-05-22T00:00:00"/>
        <d v="2025-05-25T00:00:00"/>
        <d v="2025-06-01T00:00:00"/>
        <d v="2025-06-03T00:00:00"/>
        <d v="2025-06-05T00:00:00"/>
        <d v="2025-06-07T00:00:00"/>
        <d v="2025-06-09T00:00:00"/>
        <d v="2025-06-12T00:00:00"/>
        <d v="2025-06-15T00:00:00"/>
        <d v="2025-06-18T00:00:00"/>
        <d v="2025-06-21T00:00:00"/>
        <d v="2025-06-24T00:00:00"/>
        <d v="2025-07-02T00:00:00"/>
        <d v="2025-07-04T00:00:00"/>
        <d v="2025-07-06T00:00:00"/>
        <d v="2025-07-08T00:00:00"/>
        <d v="2025-07-10T00:00:00"/>
        <d v="2025-07-13T00:00:00"/>
        <d v="2025-07-16T00:00:00"/>
        <d v="2025-07-19T00:00:00"/>
        <d v="2025-07-22T00:00:00"/>
        <d v="2025-07-25T00:00:00"/>
        <d v="2025-08-01T00:00:00"/>
        <d v="2025-08-03T00:00:00"/>
        <d v="2025-08-05T00:00:00"/>
        <d v="2025-08-07T00:00:00"/>
        <d v="2025-08-09T00:00:00"/>
        <d v="2025-08-12T00:00:00"/>
        <d v="2025-08-15T00:00:00"/>
        <d v="2025-08-18T00:00:00"/>
        <d v="2025-08-21T00:00:00"/>
        <d v="2025-08-24T00:00:00"/>
        <d v="2025-09-02T00:00:00"/>
        <d v="2025-09-04T00:00:00"/>
        <d v="2025-09-06T00:00:00"/>
        <d v="2025-09-08T00:00:00"/>
        <d v="2025-09-10T00:00:00"/>
        <d v="2025-09-13T00:00:00"/>
        <d v="2025-09-16T00:00:00"/>
        <d v="2025-09-19T00:00:00"/>
        <d v="2025-09-22T00:00:00"/>
        <d v="2025-09-25T00:00:00"/>
        <d v="2025-10-02T00:00:00"/>
        <d v="2025-10-04T00:00:00"/>
        <d v="2025-10-06T00:00:00"/>
        <d v="2025-10-08T00:00:00"/>
        <d v="2025-10-10T00:00:00"/>
        <d v="2025-10-13T00:00:00"/>
        <d v="2025-10-16T00:00:00"/>
        <d v="2025-10-19T00:00:00"/>
        <d v="2025-10-22T00:00:00"/>
        <d v="2025-10-25T00:00:00"/>
        <d v="2025-11-02T00:00:00"/>
        <d v="2025-11-04T00:00:00"/>
        <d v="2025-11-06T00:00:00"/>
        <d v="2025-11-08T00:00:00"/>
        <d v="2025-11-10T00:00:00"/>
        <d v="2025-11-13T00:00:00"/>
        <d v="2025-11-16T00:00:00"/>
        <d v="2025-11-19T00:00:00"/>
        <d v="2025-11-22T00:00:00"/>
        <d v="2025-11-25T00:00:00"/>
        <d v="2025-12-02T00:00:00"/>
        <d v="2025-12-04T00:00:00"/>
        <d v="2025-12-06T00:00:00"/>
        <d v="2025-12-08T00:00:00"/>
        <d v="2025-12-10T00:00:00"/>
        <d v="2025-12-13T00:00:00"/>
        <d v="2025-12-16T00:00:00"/>
        <d v="2025-12-19T00:00:00"/>
        <d v="2025-12-22T00:00:00"/>
        <d v="2025-12-25T00:00:00"/>
      </sharedItems>
      <fieldGroup par="14"/>
    </cacheField>
    <cacheField name="City" numFmtId="0">
      <sharedItems/>
    </cacheField>
    <cacheField name="Category" numFmtId="0">
      <sharedItems/>
    </cacheField>
    <cacheField name="Product" numFmtId="0">
      <sharedItems/>
    </cacheField>
    <cacheField name="Age" numFmtId="0">
      <sharedItems containsSemiMixedTypes="0" containsString="0" containsNumber="1" containsInteger="1" minValue="20" maxValue="45"/>
    </cacheField>
    <cacheField name="Gender" numFmtId="0">
      <sharedItems/>
    </cacheField>
    <cacheField name="Sales" numFmtId="164">
      <sharedItems containsSemiMixedTypes="0" containsString="0" containsNumber="1" containsInteger="1" minValue="600" maxValue="6000"/>
    </cacheField>
    <cacheField name="Quantity" numFmtId="0">
      <sharedItems containsSemiMixedTypes="0" containsString="0" containsNumber="1" containsInteger="1" minValue="1" maxValue="3"/>
    </cacheField>
    <cacheField name="Channel" numFmtId="0">
      <sharedItems/>
    </cacheField>
    <cacheField name="Payment Mode" numFmtId="0">
      <sharedItems/>
    </cacheField>
    <cacheField name="Rating" numFmtId="0">
      <sharedItems containsSemiMixedTypes="0" containsString="0" containsNumber="1" minValue="3.7" maxValue="5"/>
    </cacheField>
    <cacheField name="Age Group" numFmtId="0">
      <sharedItems count="4">
        <s v="18-24"/>
        <s v="25-34"/>
        <s v="35-44"/>
        <s v="45+"/>
      </sharedItems>
    </cacheField>
    <cacheField name="Days (Date)" numFmtId="0" databaseField="0">
      <fieldGroup base="1">
        <rangePr groupBy="days" startDate="2025-01-01T00:00:00" endDate="2025-12-26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2-2025"/>
        </groupItems>
      </fieldGroup>
    </cacheField>
    <cacheField name="Months (Date)" numFmtId="0" databaseField="0">
      <fieldGroup base="1">
        <rangePr groupBy="months" startDate="2025-01-01T00:00:00" endDate="2025-12-26T00:00:00"/>
        <groupItems count="14">
          <s v="&lt;01-01-2025"/>
          <s v="Jan"/>
          <s v="Feb"/>
          <s v="Mar"/>
          <s v="Apr"/>
          <s v="May"/>
          <s v="Jun"/>
          <s v="Jul"/>
          <s v="Aug"/>
          <s v="Sep"/>
          <s v="Oct"/>
          <s v="Nov"/>
          <s v="Dec"/>
          <s v="&gt;26-12-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ya" refreshedDate="46271.711117476851" createdVersion="8" refreshedVersion="8" minRefreshableVersion="3" recordCount="120" xr:uid="{57F1DED5-572B-4E57-8E5C-9F616FA3533B}">
  <cacheSource type="worksheet">
    <worksheetSource name="BeautyData"/>
  </cacheSource>
  <cacheFields count="15">
    <cacheField name="Order IDA1:J21" numFmtId="0">
      <sharedItems containsSemiMixedTypes="0" containsString="0" containsNumber="1" containsInteger="1" minValue="1001" maxValue="1120"/>
    </cacheField>
    <cacheField name="Date" numFmtId="14">
      <sharedItems containsSemiMixedTypes="0" containsNonDate="0" containsDate="1" containsString="0" minDate="2025-01-01T00:00:00" maxDate="2025-12-26T00:00:00" count="120">
        <d v="2025-12-10T00:00:00"/>
        <d v="2025-11-10T00:00:00"/>
        <d v="2025-10-10T00:00:00"/>
        <d v="2025-09-10T00:00:00"/>
        <d v="2025-08-09T00:00:00"/>
        <d v="2025-12-22T00:00:00"/>
        <d v="2025-11-22T00:00:00"/>
        <d v="2025-07-10T00:00:00"/>
        <d v="2025-12-08T00:00:00"/>
        <d v="2025-10-22T00:00:00"/>
        <d v="2025-11-08T00:00:00"/>
        <d v="2025-09-22T00:00:00"/>
        <d v="2025-06-09T00:00:00"/>
        <d v="2025-12-02T00:00:00"/>
        <d v="2025-08-21T00:00:00"/>
        <d v="2025-10-08T00:00:00"/>
        <d v="2025-12-19T00:00:00"/>
        <d v="2025-07-22T00:00:00"/>
        <d v="2025-11-02T00:00:00"/>
        <d v="2025-04-10T00:00:00"/>
        <d v="2025-09-08T00:00:00"/>
        <d v="2025-10-02T00:00:00"/>
        <d v="2025-07-08T00:00:00"/>
        <d v="2025-11-19T00:00:00"/>
        <d v="2025-04-21T00:00:00"/>
        <d v="2025-09-02T00:00:00"/>
        <d v="2025-08-07T00:00:00"/>
        <d v="2025-02-14T00:00:00"/>
        <d v="2025-10-19T00:00:00"/>
        <d v="2025-05-08T00:00:00"/>
        <d v="2025-03-20T00:00:00"/>
        <d v="2025-08-01T00:00:00"/>
        <d v="2025-12-06T00:00:00"/>
        <d v="2025-06-21T00:00:00"/>
        <d v="2025-09-19T00:00:00"/>
        <d v="2025-07-02T00:00:00"/>
        <d v="2025-04-08T00:00:00"/>
        <d v="2025-05-10T00:00:00"/>
        <d v="2025-08-18T00:00:00"/>
        <d v="2025-11-06T00:00:00"/>
        <d v="2025-05-22T00:00:00"/>
        <d v="2025-02-11T00:00:00"/>
        <d v="2025-05-02T00:00:00"/>
        <d v="2025-03-11T00:00:00"/>
        <d v="2025-06-07T00:00:00"/>
        <d v="2025-02-26T00:00:00"/>
        <d v="2025-07-19T00:00:00"/>
        <d v="2025-10-06T00:00:00"/>
        <d v="2025-04-02T00:00:00"/>
        <d v="2025-05-19T00:00:00"/>
        <d v="2025-09-06T00:00:00"/>
        <d v="2025-01-25T00:00:00"/>
        <d v="2025-03-09T00:00:00"/>
        <d v="2025-08-05T00:00:00"/>
        <d v="2025-02-02T00:00:00"/>
        <d v="2025-04-18T00:00:00"/>
        <d v="2025-02-23T00:00:00"/>
        <d v="2025-07-06T00:00:00"/>
        <d v="2025-06-01T00:00:00"/>
        <d v="2025-01-08T00:00:00"/>
        <d v="2025-06-18T00:00:00"/>
        <d v="2025-01-22T00:00:00"/>
        <d v="2025-06-05T00:00:00"/>
        <d v="2025-12-25T00:00:00"/>
        <d v="2025-03-17T00:00:00"/>
        <d v="2025-05-06T00:00:00"/>
        <d v="2025-11-25T00:00:00"/>
        <d v="2025-03-03T00:00:00"/>
        <d v="2025-01-12T00:00:00"/>
        <d v="2025-10-25T00:00:00"/>
        <d v="2025-12-04T00:00:00"/>
        <d v="2025-04-06T00:00:00"/>
        <d v="2025-09-25T00:00:00"/>
        <d v="2025-11-04T00:00:00"/>
        <d v="2025-03-07T00:00:00"/>
        <d v="2025-08-24T00:00:00"/>
        <d v="2025-10-04T00:00:00"/>
        <d v="2025-07-25T00:00:00"/>
        <d v="2025-12-16T00:00:00"/>
        <d v="2025-01-05T00:00:00"/>
        <d v="2025-09-04T00:00:00"/>
        <d v="2025-11-16T00:00:00"/>
        <d v="2025-04-25T00:00:00"/>
        <d v="2025-08-03T00:00:00"/>
        <d v="2025-10-16T00:00:00"/>
        <d v="2025-06-24T00:00:00"/>
        <d v="2025-09-16T00:00:00"/>
        <d v="2025-03-23T00:00:00"/>
        <d v="2025-07-04T00:00:00"/>
        <d v="2025-08-15T00:00:00"/>
        <d v="2025-02-05T00:00:00"/>
        <d v="2025-05-25T00:00:00"/>
        <d v="2025-07-16T00:00:00"/>
        <d v="2025-02-28T00:00:00"/>
        <d v="2025-04-04T00:00:00"/>
        <d v="2025-05-16T00:00:00"/>
        <d v="2025-01-01T00:00:00"/>
        <d v="2025-06-15T00:00:00"/>
        <d v="2025-03-15T00:00:00"/>
        <d v="2025-01-28T00:00:00"/>
        <d v="2025-05-04T00:00:00"/>
        <d v="2025-02-20T00:00:00"/>
        <d v="2025-06-03T00:00:00"/>
        <d v="2025-04-15T00:00:00"/>
        <d v="2025-03-05T00:00:00"/>
        <d v="2025-12-13T00:00:00"/>
        <d v="2025-01-18T00:00:00"/>
        <d v="2025-02-08T00:00:00"/>
        <d v="2025-11-13T00:00:00"/>
        <d v="2025-01-03T00:00:00"/>
        <d v="2025-10-13T00:00:00"/>
        <d v="2025-09-13T00:00:00"/>
        <d v="2025-08-12T00:00:00"/>
        <d v="2025-03-13T00:00:00"/>
        <d v="2025-07-13T00:00:00"/>
        <d v="2025-04-12T00:00:00"/>
        <d v="2025-02-17T00:00:00"/>
        <d v="2025-01-15T00:00:00"/>
        <d v="2025-06-12T00:00:00"/>
        <d v="2025-05-13T00:00:00"/>
      </sharedItems>
      <fieldGroup par="14"/>
    </cacheField>
    <cacheField name="City" numFmtId="0">
      <sharedItems count="6">
        <s v="Pune"/>
        <s v="Mumbai"/>
        <s v="Bengaluru"/>
        <s v="Delhi"/>
        <s v="Hyderabad"/>
        <s v="Chennai"/>
      </sharedItems>
    </cacheField>
    <cacheField name="Category" numFmtId="0">
      <sharedItems count="5">
        <s v="Fragrance"/>
        <s v="Wellness"/>
        <s v="Skincare"/>
        <s v="Makeup"/>
        <s v="Haircare"/>
      </sharedItems>
    </cacheField>
    <cacheField name="Product" numFmtId="0">
      <sharedItems count="10">
        <s v="Perfume"/>
        <s v="Protein Powder"/>
        <s v="Vitamin Pack"/>
        <s v="Face Serum"/>
        <s v="Foundation"/>
        <s v="Lipstick"/>
        <s v="Moisturizer"/>
        <s v="Shampoo"/>
        <s v="Hair Oil"/>
        <s v="Face Wash"/>
      </sharedItems>
    </cacheField>
    <cacheField name="Age" numFmtId="0">
      <sharedItems containsSemiMixedTypes="0" containsString="0" containsNumber="1" containsInteger="1" minValue="20" maxValue="45"/>
    </cacheField>
    <cacheField name="Gender" numFmtId="0">
      <sharedItems count="2">
        <s v="Female"/>
        <s v="Male"/>
      </sharedItems>
    </cacheField>
    <cacheField name="Sales" numFmtId="164">
      <sharedItems containsSemiMixedTypes="0" containsString="0" containsNumber="1" containsInteger="1" minValue="600" maxValue="6000"/>
    </cacheField>
    <cacheField name="Quantity" numFmtId="0">
      <sharedItems containsSemiMixedTypes="0" containsString="0" containsNumber="1" containsInteger="1" minValue="1" maxValue="3"/>
    </cacheField>
    <cacheField name="Channel" numFmtId="0">
      <sharedItems count="2">
        <s v="Online"/>
        <s v="Retail Store"/>
      </sharedItems>
    </cacheField>
    <cacheField name="Payment Mode" numFmtId="0">
      <sharedItems/>
    </cacheField>
    <cacheField name="Rating" numFmtId="0">
      <sharedItems containsSemiMixedTypes="0" containsString="0" containsNumber="1" minValue="3.7" maxValue="5" count="14">
        <n v="5"/>
        <n v="4.9000000000000004"/>
        <n v="4.8"/>
        <n v="4.5999999999999996"/>
        <n v="4.7"/>
        <n v="4.5"/>
        <n v="4.4000000000000004"/>
        <n v="4.3"/>
        <n v="4.2"/>
        <n v="4.0999999999999996"/>
        <n v="4"/>
        <n v="3.9"/>
        <n v="3.8"/>
        <n v="3.7"/>
      </sharedItems>
    </cacheField>
    <cacheField name="Age Group" numFmtId="0">
      <sharedItems count="4">
        <s v="35-44"/>
        <s v="25-34"/>
        <s v="45+"/>
        <s v="18-24"/>
      </sharedItems>
    </cacheField>
    <cacheField name="Days (Date)" numFmtId="0" databaseField="0">
      <fieldGroup base="1">
        <rangePr groupBy="days" startDate="2025-01-01T00:00:00" endDate="2025-12-26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2-2025"/>
        </groupItems>
      </fieldGroup>
    </cacheField>
    <cacheField name="Months (Date)" numFmtId="0" databaseField="0">
      <fieldGroup base="1">
        <rangePr groupBy="months" startDate="2025-01-01T00:00:00" endDate="2025-12-26T00:00:00"/>
        <groupItems count="14">
          <s v="&lt;01-01-2025"/>
          <s v="Jan"/>
          <s v="Feb"/>
          <s v="Mar"/>
          <s v="Apr"/>
          <s v="May"/>
          <s v="Jun"/>
          <s v="Jul"/>
          <s v="Aug"/>
          <s v="Sep"/>
          <s v="Oct"/>
          <s v="Nov"/>
          <s v="Dec"/>
          <s v="&gt;26-12-2025"/>
        </groupItems>
      </fieldGroup>
    </cacheField>
  </cacheFields>
  <extLst>
    <ext xmlns:x14="http://schemas.microsoft.com/office/spreadsheetml/2009/9/main" uri="{725AE2AE-9491-48be-B2B4-4EB974FC3084}">
      <x14:pivotCacheDefinition pivotCacheId="1201778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001"/>
    <d v="2025-01-01T00:00:00"/>
    <x v="0"/>
    <x v="0"/>
    <s v="Face Serum"/>
    <n v="24"/>
    <x v="0"/>
    <n v="1200"/>
    <n v="2"/>
    <x v="0"/>
    <s v="UPI"/>
    <n v="4.5"/>
  </r>
  <r>
    <n v="1002"/>
    <d v="2025-01-03T00:00:00"/>
    <x v="1"/>
    <x v="1"/>
    <s v="Shampoo"/>
    <n v="31"/>
    <x v="0"/>
    <n v="850"/>
    <n v="1"/>
    <x v="1"/>
    <s v="Card"/>
    <n v="4"/>
  </r>
  <r>
    <n v="1003"/>
    <d v="2025-01-05T00:00:00"/>
    <x v="2"/>
    <x v="2"/>
    <s v="Lipstick"/>
    <n v="27"/>
    <x v="0"/>
    <n v="1500"/>
    <n v="3"/>
    <x v="0"/>
    <s v="UPI"/>
    <n v="4.7"/>
  </r>
  <r>
    <n v="1004"/>
    <d v="2025-01-08T00:00:00"/>
    <x v="0"/>
    <x v="3"/>
    <s v="Vitamin Pack"/>
    <n v="35"/>
    <x v="1"/>
    <n v="2200"/>
    <n v="2"/>
    <x v="1"/>
    <s v="Card"/>
    <n v="4.2"/>
  </r>
  <r>
    <n v="1005"/>
    <d v="2025-01-12T00:00:00"/>
    <x v="3"/>
    <x v="4"/>
    <s v="Perfume"/>
    <n v="29"/>
    <x v="0"/>
    <n v="1800"/>
    <n v="1"/>
    <x v="0"/>
    <s v="Wallet"/>
    <n v="4.8"/>
  </r>
  <r>
    <n v="1006"/>
    <d v="2025-01-15T00:00:00"/>
    <x v="4"/>
    <x v="0"/>
    <s v="Face Wash"/>
    <n v="22"/>
    <x v="0"/>
    <n v="650"/>
    <n v="2"/>
    <x v="0"/>
    <s v="UPI"/>
    <n v="4.0999999999999996"/>
  </r>
  <r>
    <n v="1007"/>
    <d v="2025-01-18T00:00:00"/>
    <x v="5"/>
    <x v="1"/>
    <s v="Hair Oil"/>
    <n v="40"/>
    <x v="1"/>
    <n v="900"/>
    <n v="2"/>
    <x v="1"/>
    <s v="Cash"/>
    <n v="3.9"/>
  </r>
  <r>
    <n v="1008"/>
    <d v="2025-01-22T00:00:00"/>
    <x v="0"/>
    <x v="2"/>
    <s v="Foundation"/>
    <n v="26"/>
    <x v="0"/>
    <n v="2100"/>
    <n v="2"/>
    <x v="0"/>
    <s v="Card"/>
    <n v="4.5999999999999996"/>
  </r>
  <r>
    <n v="1009"/>
    <d v="2025-01-25T00:00:00"/>
    <x v="1"/>
    <x v="3"/>
    <s v="Protein Powder"/>
    <n v="33"/>
    <x v="1"/>
    <n v="2500"/>
    <n v="1"/>
    <x v="0"/>
    <s v="UPI"/>
    <n v="4.4000000000000004"/>
  </r>
  <r>
    <n v="1010"/>
    <d v="2025-01-28T00:00:00"/>
    <x v="2"/>
    <x v="0"/>
    <s v="Moisturizer"/>
    <n v="37"/>
    <x v="0"/>
    <n v="1100"/>
    <n v="2"/>
    <x v="1"/>
    <s v="Card"/>
    <n v="4.3"/>
  </r>
  <r>
    <n v="1011"/>
    <d v="2025-02-02T00:00:00"/>
    <x v="0"/>
    <x v="0"/>
    <s v="Face Serum"/>
    <n v="25"/>
    <x v="0"/>
    <n v="2400"/>
    <n v="3"/>
    <x v="0"/>
    <s v="UPI"/>
    <n v="4.9000000000000004"/>
  </r>
  <r>
    <n v="1012"/>
    <d v="2025-02-05T00:00:00"/>
    <x v="1"/>
    <x v="1"/>
    <s v="Shampoo"/>
    <n v="30"/>
    <x v="0"/>
    <n v="1300"/>
    <n v="2"/>
    <x v="1"/>
    <s v="Card"/>
    <n v="4.0999999999999996"/>
  </r>
  <r>
    <n v="1013"/>
    <d v="2025-02-08T00:00:00"/>
    <x v="2"/>
    <x v="2"/>
    <s v="Lipstick"/>
    <n v="23"/>
    <x v="0"/>
    <n v="900"/>
    <n v="2"/>
    <x v="0"/>
    <s v="UPI"/>
    <n v="4.5"/>
  </r>
  <r>
    <n v="1014"/>
    <d v="2025-02-11T00:00:00"/>
    <x v="0"/>
    <x v="3"/>
    <s v="Vitamin Pack"/>
    <n v="42"/>
    <x v="1"/>
    <n v="2800"/>
    <n v="2"/>
    <x v="0"/>
    <s v="Card"/>
    <n v="4.5999999999999996"/>
  </r>
  <r>
    <n v="1015"/>
    <d v="2025-02-14T00:00:00"/>
    <x v="3"/>
    <x v="4"/>
    <s v="Perfume"/>
    <n v="28"/>
    <x v="0"/>
    <n v="3200"/>
    <n v="2"/>
    <x v="0"/>
    <s v="Wallet"/>
    <n v="4.8"/>
  </r>
  <r>
    <n v="1016"/>
    <d v="2025-02-17T00:00:00"/>
    <x v="4"/>
    <x v="0"/>
    <s v="Face Wash"/>
    <n v="21"/>
    <x v="0"/>
    <n v="700"/>
    <n v="2"/>
    <x v="1"/>
    <s v="Cash"/>
    <n v="3.8"/>
  </r>
  <r>
    <n v="1017"/>
    <d v="2025-02-20T00:00:00"/>
    <x v="5"/>
    <x v="1"/>
    <s v="Hair Oil"/>
    <n v="36"/>
    <x v="1"/>
    <n v="1050"/>
    <n v="2"/>
    <x v="0"/>
    <s v="UPI"/>
    <n v="4"/>
  </r>
  <r>
    <n v="1018"/>
    <d v="2025-02-23T00:00:00"/>
    <x v="0"/>
    <x v="2"/>
    <s v="Foundation"/>
    <n v="29"/>
    <x v="0"/>
    <n v="2300"/>
    <n v="2"/>
    <x v="0"/>
    <s v="Card"/>
    <n v="4.7"/>
  </r>
  <r>
    <n v="1019"/>
    <d v="2025-02-26T00:00:00"/>
    <x v="1"/>
    <x v="3"/>
    <s v="Protein Powder"/>
    <n v="34"/>
    <x v="1"/>
    <n v="2700"/>
    <n v="1"/>
    <x v="0"/>
    <s v="UPI"/>
    <n v="4.5"/>
  </r>
  <r>
    <n v="1020"/>
    <d v="2025-02-28T00:00:00"/>
    <x v="2"/>
    <x v="0"/>
    <s v="Moisturizer"/>
    <n v="39"/>
    <x v="0"/>
    <n v="1250"/>
    <n v="2"/>
    <x v="1"/>
    <s v="Card"/>
    <n v="4.2"/>
  </r>
  <r>
    <n v="1021"/>
    <d v="2025-03-03T00:00:00"/>
    <x v="0"/>
    <x v="0"/>
    <s v="Face Serum"/>
    <n v="26"/>
    <x v="0"/>
    <n v="1850"/>
    <n v="2"/>
    <x v="0"/>
    <s v="UPI"/>
    <n v="4.5999999999999996"/>
  </r>
  <r>
    <n v="1022"/>
    <d v="2025-03-05T00:00:00"/>
    <x v="1"/>
    <x v="1"/>
    <s v="Shampoo"/>
    <n v="32"/>
    <x v="0"/>
    <n v="950"/>
    <n v="2"/>
    <x v="1"/>
    <s v="Card"/>
    <n v="4.0999999999999996"/>
  </r>
  <r>
    <n v="1023"/>
    <d v="2025-03-07T00:00:00"/>
    <x v="2"/>
    <x v="2"/>
    <s v="Lipstick"/>
    <n v="28"/>
    <x v="0"/>
    <n v="1650"/>
    <n v="3"/>
    <x v="0"/>
    <s v="UPI"/>
    <n v="4.7"/>
  </r>
  <r>
    <n v="1024"/>
    <d v="2025-03-09T00:00:00"/>
    <x v="0"/>
    <x v="3"/>
    <s v="Vitamin Pack"/>
    <n v="38"/>
    <x v="1"/>
    <n v="2450"/>
    <n v="2"/>
    <x v="0"/>
    <s v="Card"/>
    <n v="4.3"/>
  </r>
  <r>
    <n v="1025"/>
    <d v="2025-03-11T00:00:00"/>
    <x v="3"/>
    <x v="4"/>
    <s v="Perfume"/>
    <n v="30"/>
    <x v="0"/>
    <n v="2750"/>
    <n v="2"/>
    <x v="0"/>
    <s v="Wallet"/>
    <n v="4.8"/>
  </r>
  <r>
    <n v="1026"/>
    <d v="2025-03-13T00:00:00"/>
    <x v="4"/>
    <x v="0"/>
    <s v="Face Wash"/>
    <n v="23"/>
    <x v="0"/>
    <n v="780"/>
    <n v="2"/>
    <x v="1"/>
    <s v="Cash"/>
    <n v="4"/>
  </r>
  <r>
    <n v="1027"/>
    <d v="2025-03-15T00:00:00"/>
    <x v="5"/>
    <x v="1"/>
    <s v="Hair Oil"/>
    <n v="41"/>
    <x v="1"/>
    <n v="1150"/>
    <n v="2"/>
    <x v="1"/>
    <s v="UPI"/>
    <n v="4.2"/>
  </r>
  <r>
    <n v="1028"/>
    <d v="2025-03-17T00:00:00"/>
    <x v="0"/>
    <x v="2"/>
    <s v="Foundation"/>
    <n v="27"/>
    <x v="0"/>
    <n v="1950"/>
    <n v="2"/>
    <x v="0"/>
    <s v="Card"/>
    <n v="4.5"/>
  </r>
  <r>
    <n v="1029"/>
    <d v="2025-03-20T00:00:00"/>
    <x v="1"/>
    <x v="3"/>
    <s v="Protein Powder"/>
    <n v="36"/>
    <x v="1"/>
    <n v="3100"/>
    <n v="2"/>
    <x v="0"/>
    <s v="UPI"/>
    <n v="4.5999999999999996"/>
  </r>
  <r>
    <n v="1030"/>
    <d v="2025-03-23T00:00:00"/>
    <x v="2"/>
    <x v="0"/>
    <s v="Moisturizer"/>
    <n v="34"/>
    <x v="0"/>
    <n v="1350"/>
    <n v="2"/>
    <x v="1"/>
    <s v="Card"/>
    <n v="4.4000000000000004"/>
  </r>
  <r>
    <n v="1031"/>
    <d v="2025-04-02T00:00:00"/>
    <x v="0"/>
    <x v="0"/>
    <s v="Face Serum"/>
    <n v="24"/>
    <x v="0"/>
    <n v="2600"/>
    <n v="3"/>
    <x v="0"/>
    <s v="UPI"/>
    <n v="4.9000000000000004"/>
  </r>
  <r>
    <n v="1032"/>
    <d v="2025-04-04T00:00:00"/>
    <x v="1"/>
    <x v="1"/>
    <s v="Shampoo"/>
    <n v="29"/>
    <x v="0"/>
    <n v="1250"/>
    <n v="2"/>
    <x v="1"/>
    <s v="Card"/>
    <n v="4"/>
  </r>
  <r>
    <n v="1033"/>
    <d v="2025-04-06T00:00:00"/>
    <x v="2"/>
    <x v="2"/>
    <s v="Lipstick"/>
    <n v="25"/>
    <x v="0"/>
    <n v="1750"/>
    <n v="3"/>
    <x v="0"/>
    <s v="UPI"/>
    <n v="4.5999999999999996"/>
  </r>
  <r>
    <n v="1034"/>
    <d v="2025-04-08T00:00:00"/>
    <x v="0"/>
    <x v="3"/>
    <s v="Vitamin Pack"/>
    <n v="43"/>
    <x v="1"/>
    <n v="2900"/>
    <n v="2"/>
    <x v="0"/>
    <s v="Card"/>
    <n v="4.7"/>
  </r>
  <r>
    <n v="1035"/>
    <d v="2025-04-10T00:00:00"/>
    <x v="3"/>
    <x v="4"/>
    <s v="Perfume"/>
    <n v="31"/>
    <x v="0"/>
    <n v="3500"/>
    <n v="2"/>
    <x v="0"/>
    <s v="Wallet"/>
    <n v="4.9000000000000004"/>
  </r>
  <r>
    <n v="1036"/>
    <d v="2025-04-12T00:00:00"/>
    <x v="4"/>
    <x v="0"/>
    <s v="Face Wash"/>
    <n v="22"/>
    <x v="0"/>
    <n v="720"/>
    <n v="2"/>
    <x v="1"/>
    <s v="Cash"/>
    <n v="3.9"/>
  </r>
  <r>
    <n v="1037"/>
    <d v="2025-04-15T00:00:00"/>
    <x v="5"/>
    <x v="1"/>
    <s v="Hair Oil"/>
    <n v="37"/>
    <x v="1"/>
    <n v="980"/>
    <n v="2"/>
    <x v="0"/>
    <s v="UPI"/>
    <n v="4.0999999999999996"/>
  </r>
  <r>
    <n v="1038"/>
    <d v="2025-04-18T00:00:00"/>
    <x v="0"/>
    <x v="2"/>
    <s v="Foundation"/>
    <n v="28"/>
    <x v="0"/>
    <n v="2400"/>
    <n v="2"/>
    <x v="0"/>
    <s v="Card"/>
    <n v="4.8"/>
  </r>
  <r>
    <n v="1039"/>
    <d v="2025-04-21T00:00:00"/>
    <x v="1"/>
    <x v="3"/>
    <s v="Protein Powder"/>
    <n v="35"/>
    <x v="1"/>
    <n v="3300"/>
    <n v="1"/>
    <x v="0"/>
    <s v="UPI"/>
    <n v="4.5"/>
  </r>
  <r>
    <n v="1040"/>
    <d v="2025-04-25T00:00:00"/>
    <x v="2"/>
    <x v="0"/>
    <s v="Moisturizer"/>
    <n v="40"/>
    <x v="0"/>
    <n v="1450"/>
    <n v="2"/>
    <x v="1"/>
    <s v="Card"/>
    <n v="4.3"/>
  </r>
  <r>
    <n v="1041"/>
    <d v="2025-05-02T00:00:00"/>
    <x v="0"/>
    <x v="0"/>
    <s v="Face Serum"/>
    <n v="27"/>
    <x v="0"/>
    <n v="2800"/>
    <n v="3"/>
    <x v="0"/>
    <s v="UPI"/>
    <n v="4.8"/>
  </r>
  <r>
    <n v="1042"/>
    <d v="2025-05-04T00:00:00"/>
    <x v="1"/>
    <x v="1"/>
    <s v="Shampoo"/>
    <n v="33"/>
    <x v="0"/>
    <n v="1100"/>
    <n v="2"/>
    <x v="1"/>
    <s v="Card"/>
    <n v="4.2"/>
  </r>
  <r>
    <n v="1043"/>
    <d v="2025-05-06T00:00:00"/>
    <x v="2"/>
    <x v="2"/>
    <s v="Lipstick"/>
    <n v="24"/>
    <x v="0"/>
    <n v="1900"/>
    <n v="3"/>
    <x v="0"/>
    <s v="UPI"/>
    <n v="4.7"/>
  </r>
  <r>
    <n v="1044"/>
    <d v="2025-05-08T00:00:00"/>
    <x v="0"/>
    <x v="3"/>
    <s v="Vitamin Pack"/>
    <n v="39"/>
    <x v="1"/>
    <n v="3150"/>
    <n v="2"/>
    <x v="0"/>
    <s v="Card"/>
    <n v="4.5999999999999996"/>
  </r>
  <r>
    <n v="1045"/>
    <d v="2025-05-10T00:00:00"/>
    <x v="3"/>
    <x v="4"/>
    <s v="Perfume"/>
    <n v="29"/>
    <x v="0"/>
    <n v="2900"/>
    <n v="2"/>
    <x v="0"/>
    <s v="Wallet"/>
    <n v="4.8"/>
  </r>
  <r>
    <n v="1046"/>
    <d v="2025-05-13T00:00:00"/>
    <x v="4"/>
    <x v="0"/>
    <s v="Face Wash"/>
    <n v="21"/>
    <x v="0"/>
    <n v="600"/>
    <n v="1"/>
    <x v="1"/>
    <s v="Cash"/>
    <n v="3.7"/>
  </r>
  <r>
    <n v="1047"/>
    <d v="2025-05-16T00:00:00"/>
    <x v="5"/>
    <x v="1"/>
    <s v="Hair Oil"/>
    <n v="44"/>
    <x v="1"/>
    <n v="1250"/>
    <n v="2"/>
    <x v="1"/>
    <s v="UPI"/>
    <n v="4"/>
  </r>
  <r>
    <n v="1048"/>
    <d v="2025-05-19T00:00:00"/>
    <x v="0"/>
    <x v="2"/>
    <s v="Foundation"/>
    <n v="30"/>
    <x v="0"/>
    <n v="2550"/>
    <n v="2"/>
    <x v="0"/>
    <s v="Card"/>
    <n v="4.9000000000000004"/>
  </r>
  <r>
    <n v="1049"/>
    <d v="2025-05-22T00:00:00"/>
    <x v="1"/>
    <x v="3"/>
    <s v="Protein Powder"/>
    <n v="32"/>
    <x v="1"/>
    <n v="2850"/>
    <n v="1"/>
    <x v="0"/>
    <s v="UPI"/>
    <n v="4.4000000000000004"/>
  </r>
  <r>
    <n v="1050"/>
    <d v="2025-05-25T00:00:00"/>
    <x v="2"/>
    <x v="0"/>
    <s v="Moisturizer"/>
    <n v="36"/>
    <x v="0"/>
    <n v="1300"/>
    <n v="2"/>
    <x v="1"/>
    <s v="Card"/>
    <n v="4.2"/>
  </r>
  <r>
    <n v="1051"/>
    <d v="2025-06-01T00:00:00"/>
    <x v="0"/>
    <x v="0"/>
    <s v="Face Serum"/>
    <n v="23"/>
    <x v="0"/>
    <n v="2250"/>
    <n v="2"/>
    <x v="0"/>
    <s v="UPI"/>
    <n v="4.7"/>
  </r>
  <r>
    <n v="1052"/>
    <d v="2025-06-03T00:00:00"/>
    <x v="1"/>
    <x v="1"/>
    <s v="Shampoo"/>
    <n v="35"/>
    <x v="0"/>
    <n v="1050"/>
    <n v="2"/>
    <x v="1"/>
    <s v="Card"/>
    <n v="4.0999999999999996"/>
  </r>
  <r>
    <n v="1053"/>
    <d v="2025-06-05T00:00:00"/>
    <x v="2"/>
    <x v="2"/>
    <s v="Lipstick"/>
    <n v="26"/>
    <x v="0"/>
    <n v="2100"/>
    <n v="3"/>
    <x v="0"/>
    <s v="UPI"/>
    <n v="4.8"/>
  </r>
  <r>
    <n v="1054"/>
    <d v="2025-06-07T00:00:00"/>
    <x v="0"/>
    <x v="3"/>
    <s v="Vitamin Pack"/>
    <n v="41"/>
    <x v="1"/>
    <n v="2750"/>
    <n v="2"/>
    <x v="0"/>
    <s v="Card"/>
    <n v="4.5"/>
  </r>
  <r>
    <n v="1055"/>
    <d v="2025-06-09T00:00:00"/>
    <x v="3"/>
    <x v="4"/>
    <s v="Perfume"/>
    <n v="34"/>
    <x v="0"/>
    <n v="3800"/>
    <n v="2"/>
    <x v="0"/>
    <s v="Wallet"/>
    <n v="4.9000000000000004"/>
  </r>
  <r>
    <n v="1056"/>
    <d v="2025-06-12T00:00:00"/>
    <x v="4"/>
    <x v="0"/>
    <s v="Face Wash"/>
    <n v="20"/>
    <x v="0"/>
    <n v="650"/>
    <n v="2"/>
    <x v="1"/>
    <s v="Cash"/>
    <n v="3.8"/>
  </r>
  <r>
    <n v="1057"/>
    <d v="2025-06-15T00:00:00"/>
    <x v="5"/>
    <x v="1"/>
    <s v="Hair Oil"/>
    <n v="39"/>
    <x v="1"/>
    <n v="1180"/>
    <n v="2"/>
    <x v="0"/>
    <s v="UPI"/>
    <n v="4.2"/>
  </r>
  <r>
    <n v="1058"/>
    <d v="2025-06-18T00:00:00"/>
    <x v="0"/>
    <x v="2"/>
    <s v="Foundation"/>
    <n v="27"/>
    <x v="0"/>
    <n v="2200"/>
    <n v="2"/>
    <x v="0"/>
    <s v="Card"/>
    <n v="4.5999999999999996"/>
  </r>
  <r>
    <n v="1059"/>
    <d v="2025-06-21T00:00:00"/>
    <x v="1"/>
    <x v="3"/>
    <s v="Protein Powder"/>
    <n v="37"/>
    <x v="1"/>
    <n v="3050"/>
    <n v="1"/>
    <x v="0"/>
    <s v="UPI"/>
    <n v="4.7"/>
  </r>
  <r>
    <n v="1060"/>
    <d v="2025-06-24T00:00:00"/>
    <x v="2"/>
    <x v="0"/>
    <s v="Moisturizer"/>
    <n v="31"/>
    <x v="0"/>
    <n v="1400"/>
    <n v="2"/>
    <x v="1"/>
    <s v="Card"/>
    <n v="4.4000000000000004"/>
  </r>
  <r>
    <n v="1061"/>
    <d v="2025-07-02T00:00:00"/>
    <x v="0"/>
    <x v="0"/>
    <s v="Face Serum"/>
    <n v="25"/>
    <x v="0"/>
    <n v="2950"/>
    <n v="3"/>
    <x v="0"/>
    <s v="UPI"/>
    <n v="4.9000000000000004"/>
  </r>
  <r>
    <n v="1062"/>
    <d v="2025-07-04T00:00:00"/>
    <x v="1"/>
    <x v="1"/>
    <s v="Shampoo"/>
    <n v="28"/>
    <x v="0"/>
    <n v="1350"/>
    <n v="2"/>
    <x v="1"/>
    <s v="Card"/>
    <n v="4.3"/>
  </r>
  <r>
    <n v="1063"/>
    <d v="2025-07-06T00:00:00"/>
    <x v="2"/>
    <x v="2"/>
    <s v="Lipstick"/>
    <n v="29"/>
    <x v="0"/>
    <n v="2300"/>
    <n v="3"/>
    <x v="0"/>
    <s v="UPI"/>
    <n v="4.8"/>
  </r>
  <r>
    <n v="1064"/>
    <d v="2025-07-08T00:00:00"/>
    <x v="0"/>
    <x v="3"/>
    <s v="Vitamin Pack"/>
    <n v="45"/>
    <x v="1"/>
    <n v="3400"/>
    <n v="2"/>
    <x v="0"/>
    <s v="Card"/>
    <n v="4.7"/>
  </r>
  <r>
    <n v="1065"/>
    <d v="2025-07-10T00:00:00"/>
    <x v="3"/>
    <x v="4"/>
    <s v="Perfume"/>
    <n v="32"/>
    <x v="0"/>
    <n v="4200"/>
    <n v="3"/>
    <x v="0"/>
    <s v="Wallet"/>
    <n v="5"/>
  </r>
  <r>
    <n v="1066"/>
    <d v="2025-07-13T00:00:00"/>
    <x v="4"/>
    <x v="0"/>
    <s v="Face Wash"/>
    <n v="24"/>
    <x v="0"/>
    <n v="750"/>
    <n v="2"/>
    <x v="1"/>
    <s v="Cash"/>
    <n v="4"/>
  </r>
  <r>
    <n v="1067"/>
    <d v="2025-07-16T00:00:00"/>
    <x v="5"/>
    <x v="1"/>
    <s v="Hair Oil"/>
    <n v="42"/>
    <x v="1"/>
    <n v="1280"/>
    <n v="2"/>
    <x v="0"/>
    <s v="UPI"/>
    <n v="4.0999999999999996"/>
  </r>
  <r>
    <n v="1068"/>
    <d v="2025-07-19T00:00:00"/>
    <x v="0"/>
    <x v="2"/>
    <s v="Foundation"/>
    <n v="26"/>
    <x v="0"/>
    <n v="2700"/>
    <n v="2"/>
    <x v="0"/>
    <s v="Card"/>
    <n v="4.9000000000000004"/>
  </r>
  <r>
    <n v="1069"/>
    <d v="2025-07-22T00:00:00"/>
    <x v="1"/>
    <x v="3"/>
    <s v="Protein Powder"/>
    <n v="34"/>
    <x v="1"/>
    <n v="3600"/>
    <n v="2"/>
    <x v="0"/>
    <s v="UPI"/>
    <n v="4.5999999999999996"/>
  </r>
  <r>
    <n v="1070"/>
    <d v="2025-07-25T00:00:00"/>
    <x v="2"/>
    <x v="0"/>
    <s v="Moisturizer"/>
    <n v="38"/>
    <x v="0"/>
    <n v="1550"/>
    <n v="2"/>
    <x v="1"/>
    <s v="Card"/>
    <n v="4.5"/>
  </r>
  <r>
    <n v="1071"/>
    <d v="2025-08-01T00:00:00"/>
    <x v="0"/>
    <x v="0"/>
    <s v="Face Serum"/>
    <n v="28"/>
    <x v="0"/>
    <n v="3100"/>
    <n v="3"/>
    <x v="0"/>
    <s v="UPI"/>
    <n v="4.9000000000000004"/>
  </r>
  <r>
    <n v="1072"/>
    <d v="2025-08-03T00:00:00"/>
    <x v="1"/>
    <x v="1"/>
    <s v="Shampoo"/>
    <n v="31"/>
    <x v="0"/>
    <n v="1450"/>
    <n v="2"/>
    <x v="1"/>
    <s v="Card"/>
    <n v="4.4000000000000004"/>
  </r>
  <r>
    <n v="1073"/>
    <d v="2025-08-05T00:00:00"/>
    <x v="2"/>
    <x v="2"/>
    <s v="Lipstick"/>
    <n v="27"/>
    <x v="0"/>
    <n v="2450"/>
    <n v="3"/>
    <x v="0"/>
    <s v="UPI"/>
    <n v="4.8"/>
  </r>
  <r>
    <n v="1074"/>
    <d v="2025-08-07T00:00:00"/>
    <x v="0"/>
    <x v="3"/>
    <s v="Vitamin Pack"/>
    <n v="40"/>
    <x v="1"/>
    <n v="3250"/>
    <n v="2"/>
    <x v="0"/>
    <s v="Card"/>
    <n v="4.7"/>
  </r>
  <r>
    <n v="1075"/>
    <d v="2025-08-09T00:00:00"/>
    <x v="3"/>
    <x v="4"/>
    <s v="Perfume"/>
    <n v="33"/>
    <x v="0"/>
    <n v="4500"/>
    <n v="3"/>
    <x v="0"/>
    <s v="Wallet"/>
    <n v="5"/>
  </r>
  <r>
    <n v="1076"/>
    <d v="2025-08-12T00:00:00"/>
    <x v="4"/>
    <x v="0"/>
    <s v="Face Wash"/>
    <n v="23"/>
    <x v="0"/>
    <n v="800"/>
    <n v="2"/>
    <x v="1"/>
    <s v="Cash"/>
    <n v="4.0999999999999996"/>
  </r>
  <r>
    <n v="1077"/>
    <d v="2025-08-15T00:00:00"/>
    <x v="5"/>
    <x v="1"/>
    <s v="Hair Oil"/>
    <n v="36"/>
    <x v="1"/>
    <n v="1320"/>
    <n v="2"/>
    <x v="0"/>
    <s v="UPI"/>
    <n v="4.3"/>
  </r>
  <r>
    <n v="1078"/>
    <d v="2025-08-18T00:00:00"/>
    <x v="0"/>
    <x v="2"/>
    <s v="Foundation"/>
    <n v="29"/>
    <x v="0"/>
    <n v="2900"/>
    <n v="2"/>
    <x v="0"/>
    <s v="Card"/>
    <n v="4.9000000000000004"/>
  </r>
  <r>
    <n v="1079"/>
    <d v="2025-08-21T00:00:00"/>
    <x v="1"/>
    <x v="3"/>
    <s v="Protein Powder"/>
    <n v="39"/>
    <x v="1"/>
    <n v="3750"/>
    <n v="2"/>
    <x v="0"/>
    <s v="UPI"/>
    <n v="4.8"/>
  </r>
  <r>
    <n v="1080"/>
    <d v="2025-08-24T00:00:00"/>
    <x v="2"/>
    <x v="0"/>
    <s v="Moisturizer"/>
    <n v="35"/>
    <x v="0"/>
    <n v="1650"/>
    <n v="2"/>
    <x v="1"/>
    <s v="Card"/>
    <n v="4.5"/>
  </r>
  <r>
    <n v="1081"/>
    <d v="2025-09-02T00:00:00"/>
    <x v="0"/>
    <x v="0"/>
    <s v="Face Serum"/>
    <n v="26"/>
    <x v="0"/>
    <n v="3300"/>
    <n v="3"/>
    <x v="0"/>
    <s v="UPI"/>
    <n v="4.9000000000000004"/>
  </r>
  <r>
    <n v="1082"/>
    <d v="2025-09-04T00:00:00"/>
    <x v="1"/>
    <x v="1"/>
    <s v="Shampoo"/>
    <n v="30"/>
    <x v="0"/>
    <n v="1500"/>
    <n v="2"/>
    <x v="1"/>
    <s v="Card"/>
    <n v="4.3"/>
  </r>
  <r>
    <n v="1083"/>
    <d v="2025-09-06T00:00:00"/>
    <x v="2"/>
    <x v="2"/>
    <s v="Lipstick"/>
    <n v="25"/>
    <x v="0"/>
    <n v="2550"/>
    <n v="3"/>
    <x v="0"/>
    <s v="UPI"/>
    <n v="4.8"/>
  </r>
  <r>
    <n v="1084"/>
    <d v="2025-09-08T00:00:00"/>
    <x v="0"/>
    <x v="3"/>
    <s v="Vitamin Pack"/>
    <n v="44"/>
    <x v="1"/>
    <n v="3500"/>
    <n v="2"/>
    <x v="0"/>
    <s v="Card"/>
    <n v="4.8"/>
  </r>
  <r>
    <n v="1085"/>
    <d v="2025-09-10T00:00:00"/>
    <x v="3"/>
    <x v="4"/>
    <s v="Perfume"/>
    <n v="29"/>
    <x v="0"/>
    <n v="4700"/>
    <n v="3"/>
    <x v="0"/>
    <s v="Wallet"/>
    <n v="5"/>
  </r>
  <r>
    <n v="1086"/>
    <d v="2025-09-13T00:00:00"/>
    <x v="4"/>
    <x v="0"/>
    <s v="Face Wash"/>
    <n v="22"/>
    <x v="0"/>
    <n v="820"/>
    <n v="2"/>
    <x v="1"/>
    <s v="Cash"/>
    <n v="4"/>
  </r>
  <r>
    <n v="1087"/>
    <d v="2025-09-16T00:00:00"/>
    <x v="5"/>
    <x v="1"/>
    <s v="Hair Oil"/>
    <n v="38"/>
    <x v="1"/>
    <n v="1400"/>
    <n v="2"/>
    <x v="0"/>
    <s v="UPI"/>
    <n v="4.4000000000000004"/>
  </r>
  <r>
    <n v="1088"/>
    <d v="2025-09-19T00:00:00"/>
    <x v="0"/>
    <x v="2"/>
    <s v="Foundation"/>
    <n v="27"/>
    <x v="0"/>
    <n v="3050"/>
    <n v="2"/>
    <x v="0"/>
    <s v="Card"/>
    <n v="4.9000000000000004"/>
  </r>
  <r>
    <n v="1089"/>
    <d v="2025-09-22T00:00:00"/>
    <x v="1"/>
    <x v="3"/>
    <s v="Protein Powder"/>
    <n v="35"/>
    <x v="1"/>
    <n v="3900"/>
    <n v="2"/>
    <x v="0"/>
    <s v="UPI"/>
    <n v="4.8"/>
  </r>
  <r>
    <n v="1090"/>
    <d v="2025-09-25T00:00:00"/>
    <x v="2"/>
    <x v="0"/>
    <s v="Moisturizer"/>
    <n v="37"/>
    <x v="0"/>
    <n v="1750"/>
    <n v="2"/>
    <x v="1"/>
    <s v="Card"/>
    <n v="4.5999999999999996"/>
  </r>
  <r>
    <n v="1091"/>
    <d v="2025-10-02T00:00:00"/>
    <x v="0"/>
    <x v="0"/>
    <s v="Face Serum"/>
    <n v="29"/>
    <x v="0"/>
    <n v="3450"/>
    <n v="3"/>
    <x v="0"/>
    <s v="UPI"/>
    <n v="5"/>
  </r>
  <r>
    <n v="1092"/>
    <d v="2025-10-04T00:00:00"/>
    <x v="1"/>
    <x v="1"/>
    <s v="Shampoo"/>
    <n v="34"/>
    <x v="0"/>
    <n v="1600"/>
    <n v="2"/>
    <x v="1"/>
    <s v="Card"/>
    <n v="4.4000000000000004"/>
  </r>
  <r>
    <n v="1093"/>
    <d v="2025-10-06T00:00:00"/>
    <x v="2"/>
    <x v="2"/>
    <s v="Lipstick"/>
    <n v="28"/>
    <x v="0"/>
    <n v="2700"/>
    <n v="3"/>
    <x v="0"/>
    <s v="UPI"/>
    <n v="4.9000000000000004"/>
  </r>
  <r>
    <n v="1094"/>
    <d v="2025-10-08T00:00:00"/>
    <x v="0"/>
    <x v="3"/>
    <s v="Vitamin Pack"/>
    <n v="42"/>
    <x v="1"/>
    <n v="3700"/>
    <n v="2"/>
    <x v="0"/>
    <s v="Card"/>
    <n v="4.8"/>
  </r>
  <r>
    <n v="1095"/>
    <d v="2025-10-10T00:00:00"/>
    <x v="3"/>
    <x v="4"/>
    <s v="Perfume"/>
    <n v="31"/>
    <x v="0"/>
    <n v="5200"/>
    <n v="3"/>
    <x v="0"/>
    <s v="Wallet"/>
    <n v="5"/>
  </r>
  <r>
    <n v="1096"/>
    <d v="2025-10-13T00:00:00"/>
    <x v="4"/>
    <x v="0"/>
    <s v="Face Wash"/>
    <n v="24"/>
    <x v="0"/>
    <n v="850"/>
    <n v="2"/>
    <x v="1"/>
    <s v="Cash"/>
    <n v="4.0999999999999996"/>
  </r>
  <r>
    <n v="1097"/>
    <d v="2025-10-16T00:00:00"/>
    <x v="5"/>
    <x v="1"/>
    <s v="Hair Oil"/>
    <n v="40"/>
    <x v="1"/>
    <n v="1450"/>
    <n v="2"/>
    <x v="0"/>
    <s v="UPI"/>
    <n v="4.3"/>
  </r>
  <r>
    <n v="1098"/>
    <d v="2025-10-19T00:00:00"/>
    <x v="0"/>
    <x v="2"/>
    <s v="Foundation"/>
    <n v="30"/>
    <x v="0"/>
    <n v="3200"/>
    <n v="2"/>
    <x v="0"/>
    <s v="Card"/>
    <n v="4.9000000000000004"/>
  </r>
  <r>
    <n v="1099"/>
    <d v="2025-10-22T00:00:00"/>
    <x v="1"/>
    <x v="3"/>
    <s v="Protein Powder"/>
    <n v="36"/>
    <x v="1"/>
    <n v="4100"/>
    <n v="2"/>
    <x v="0"/>
    <s v="UPI"/>
    <n v="4.8"/>
  </r>
  <r>
    <n v="1100"/>
    <d v="2025-10-25T00:00:00"/>
    <x v="2"/>
    <x v="0"/>
    <s v="Moisturizer"/>
    <n v="33"/>
    <x v="0"/>
    <n v="1800"/>
    <n v="2"/>
    <x v="1"/>
    <s v="Card"/>
    <n v="4.5999999999999996"/>
  </r>
  <r>
    <n v="1101"/>
    <d v="2025-11-02T00:00:00"/>
    <x v="0"/>
    <x v="0"/>
    <s v="Face Serum"/>
    <n v="30"/>
    <x v="0"/>
    <n v="3600"/>
    <n v="3"/>
    <x v="0"/>
    <s v="UPI"/>
    <n v="5"/>
  </r>
  <r>
    <n v="1102"/>
    <d v="2025-11-04T00:00:00"/>
    <x v="1"/>
    <x v="1"/>
    <s v="Shampoo"/>
    <n v="32"/>
    <x v="0"/>
    <n v="1700"/>
    <n v="2"/>
    <x v="1"/>
    <s v="Card"/>
    <n v="4.5"/>
  </r>
  <r>
    <n v="1103"/>
    <d v="2025-11-06T00:00:00"/>
    <x v="2"/>
    <x v="2"/>
    <s v="Lipstick"/>
    <n v="27"/>
    <x v="0"/>
    <n v="2900"/>
    <n v="3"/>
    <x v="0"/>
    <s v="UPI"/>
    <n v="4.9000000000000004"/>
  </r>
  <r>
    <n v="1104"/>
    <d v="2025-11-08T00:00:00"/>
    <x v="0"/>
    <x v="3"/>
    <s v="Vitamin Pack"/>
    <n v="39"/>
    <x v="1"/>
    <n v="3950"/>
    <n v="2"/>
    <x v="0"/>
    <s v="Card"/>
    <n v="4.9000000000000004"/>
  </r>
  <r>
    <n v="1105"/>
    <d v="2025-11-10T00:00:00"/>
    <x v="3"/>
    <x v="4"/>
    <s v="Perfume"/>
    <n v="35"/>
    <x v="0"/>
    <n v="5500"/>
    <n v="3"/>
    <x v="0"/>
    <s v="Wallet"/>
    <n v="5"/>
  </r>
  <r>
    <n v="1106"/>
    <d v="2025-11-13T00:00:00"/>
    <x v="4"/>
    <x v="0"/>
    <s v="Face Wash"/>
    <n v="25"/>
    <x v="0"/>
    <n v="900"/>
    <n v="2"/>
    <x v="1"/>
    <s v="Cash"/>
    <n v="4.2"/>
  </r>
  <r>
    <n v="1107"/>
    <d v="2025-11-16T00:00:00"/>
    <x v="5"/>
    <x v="1"/>
    <s v="Hair Oil"/>
    <n v="43"/>
    <x v="1"/>
    <n v="1500"/>
    <n v="2"/>
    <x v="0"/>
    <s v="UPI"/>
    <n v="4.4000000000000004"/>
  </r>
  <r>
    <n v="1108"/>
    <d v="2025-11-19T00:00:00"/>
    <x v="0"/>
    <x v="2"/>
    <s v="Foundation"/>
    <n v="31"/>
    <x v="0"/>
    <n v="3400"/>
    <n v="2"/>
    <x v="0"/>
    <s v="Card"/>
    <n v="4.9000000000000004"/>
  </r>
  <r>
    <n v="1109"/>
    <d v="2025-11-22T00:00:00"/>
    <x v="1"/>
    <x v="3"/>
    <s v="Protein Powder"/>
    <n v="37"/>
    <x v="1"/>
    <n v="4300"/>
    <n v="2"/>
    <x v="0"/>
    <s v="UPI"/>
    <n v="4.9000000000000004"/>
  </r>
  <r>
    <n v="1110"/>
    <d v="2025-11-25T00:00:00"/>
    <x v="2"/>
    <x v="0"/>
    <s v="Moisturizer"/>
    <n v="34"/>
    <x v="0"/>
    <n v="1900"/>
    <n v="2"/>
    <x v="1"/>
    <s v="Card"/>
    <n v="4.7"/>
  </r>
  <r>
    <n v="1111"/>
    <d v="2025-12-02T00:00:00"/>
    <x v="0"/>
    <x v="0"/>
    <s v="Face Serum"/>
    <n v="32"/>
    <x v="0"/>
    <n v="3800"/>
    <n v="3"/>
    <x v="0"/>
    <s v="UPI"/>
    <n v="5"/>
  </r>
  <r>
    <n v="1112"/>
    <d v="2025-12-04T00:00:00"/>
    <x v="1"/>
    <x v="1"/>
    <s v="Shampoo"/>
    <n v="35"/>
    <x v="0"/>
    <n v="1800"/>
    <n v="2"/>
    <x v="1"/>
    <s v="Card"/>
    <n v="4.5999999999999996"/>
  </r>
  <r>
    <n v="1113"/>
    <d v="2025-12-06T00:00:00"/>
    <x v="2"/>
    <x v="2"/>
    <s v="Lipstick"/>
    <n v="29"/>
    <x v="0"/>
    <n v="3100"/>
    <n v="3"/>
    <x v="0"/>
    <s v="UPI"/>
    <n v="4.9000000000000004"/>
  </r>
  <r>
    <n v="1114"/>
    <d v="2025-12-08T00:00:00"/>
    <x v="0"/>
    <x v="3"/>
    <s v="Vitamin Pack"/>
    <n v="41"/>
    <x v="1"/>
    <n v="4200"/>
    <n v="2"/>
    <x v="0"/>
    <s v="Card"/>
    <n v="4.9000000000000004"/>
  </r>
  <r>
    <n v="1115"/>
    <d v="2025-12-10T00:00:00"/>
    <x v="3"/>
    <x v="4"/>
    <s v="Perfume"/>
    <n v="36"/>
    <x v="0"/>
    <n v="6000"/>
    <n v="3"/>
    <x v="0"/>
    <s v="Wallet"/>
    <n v="5"/>
  </r>
  <r>
    <n v="1116"/>
    <d v="2025-12-13T00:00:00"/>
    <x v="4"/>
    <x v="0"/>
    <s v="Face Wash"/>
    <n v="26"/>
    <x v="0"/>
    <n v="950"/>
    <n v="2"/>
    <x v="1"/>
    <s v="Cash"/>
    <n v="4.3"/>
  </r>
  <r>
    <n v="1117"/>
    <d v="2025-12-16T00:00:00"/>
    <x v="5"/>
    <x v="1"/>
    <s v="Hair Oil"/>
    <n v="44"/>
    <x v="1"/>
    <n v="1550"/>
    <n v="2"/>
    <x v="0"/>
    <s v="UPI"/>
    <n v="4.5"/>
  </r>
  <r>
    <n v="1118"/>
    <d v="2025-12-19T00:00:00"/>
    <x v="0"/>
    <x v="2"/>
    <s v="Foundation"/>
    <n v="33"/>
    <x v="0"/>
    <n v="3650"/>
    <n v="2"/>
    <x v="0"/>
    <s v="Card"/>
    <n v="5"/>
  </r>
  <r>
    <n v="1119"/>
    <d v="2025-12-22T00:00:00"/>
    <x v="1"/>
    <x v="3"/>
    <s v="Protein Powder"/>
    <n v="38"/>
    <x v="1"/>
    <n v="4500"/>
    <n v="2"/>
    <x v="0"/>
    <s v="UPI"/>
    <n v="4.9000000000000004"/>
  </r>
  <r>
    <n v="1120"/>
    <d v="2025-12-25T00:00:00"/>
    <x v="2"/>
    <x v="0"/>
    <s v="Moisturizer"/>
    <n v="36"/>
    <x v="0"/>
    <n v="2000"/>
    <n v="2"/>
    <x v="1"/>
    <s v="Card"/>
    <n v="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001"/>
    <x v="0"/>
    <s v="Bengaluru"/>
    <s v="Skincare"/>
    <s v="Face Serum"/>
    <n v="24"/>
    <s v="Female"/>
    <n v="1200"/>
    <n v="2"/>
    <s v="Online"/>
    <s v="UPI"/>
    <n v="4.5"/>
    <x v="0"/>
  </r>
  <r>
    <n v="1002"/>
    <x v="1"/>
    <s v="Mumbai"/>
    <s v="Haircare"/>
    <s v="Shampoo"/>
    <n v="31"/>
    <s v="Female"/>
    <n v="850"/>
    <n v="1"/>
    <s v="Retail Store"/>
    <s v="Card"/>
    <n v="4"/>
    <x v="1"/>
  </r>
  <r>
    <n v="1003"/>
    <x v="2"/>
    <s v="Delhi"/>
    <s v="Makeup"/>
    <s v="Lipstick"/>
    <n v="27"/>
    <s v="Female"/>
    <n v="1500"/>
    <n v="3"/>
    <s v="Online"/>
    <s v="UPI"/>
    <n v="4.7"/>
    <x v="1"/>
  </r>
  <r>
    <n v="1004"/>
    <x v="3"/>
    <s v="Bengaluru"/>
    <s v="Wellness"/>
    <s v="Vitamin Pack"/>
    <n v="35"/>
    <s v="Male"/>
    <n v="2200"/>
    <n v="2"/>
    <s v="Retail Store"/>
    <s v="Card"/>
    <n v="4.2"/>
    <x v="2"/>
  </r>
  <r>
    <n v="1005"/>
    <x v="4"/>
    <s v="Pune"/>
    <s v="Fragrance"/>
    <s v="Perfume"/>
    <n v="29"/>
    <s v="Female"/>
    <n v="1800"/>
    <n v="1"/>
    <s v="Online"/>
    <s v="Wallet"/>
    <n v="4.8"/>
    <x v="1"/>
  </r>
  <r>
    <n v="1006"/>
    <x v="5"/>
    <s v="Chennai"/>
    <s v="Skincare"/>
    <s v="Face Wash"/>
    <n v="22"/>
    <s v="Female"/>
    <n v="650"/>
    <n v="2"/>
    <s v="Online"/>
    <s v="UPI"/>
    <n v="4.0999999999999996"/>
    <x v="0"/>
  </r>
  <r>
    <n v="1007"/>
    <x v="6"/>
    <s v="Hyderabad"/>
    <s v="Haircare"/>
    <s v="Hair Oil"/>
    <n v="40"/>
    <s v="Male"/>
    <n v="900"/>
    <n v="2"/>
    <s v="Retail Store"/>
    <s v="Cash"/>
    <n v="3.9"/>
    <x v="2"/>
  </r>
  <r>
    <n v="1008"/>
    <x v="7"/>
    <s v="Bengaluru"/>
    <s v="Makeup"/>
    <s v="Foundation"/>
    <n v="26"/>
    <s v="Female"/>
    <n v="2100"/>
    <n v="2"/>
    <s v="Online"/>
    <s v="Card"/>
    <n v="4.5999999999999996"/>
    <x v="1"/>
  </r>
  <r>
    <n v="1009"/>
    <x v="8"/>
    <s v="Mumbai"/>
    <s v="Wellness"/>
    <s v="Protein Powder"/>
    <n v="33"/>
    <s v="Male"/>
    <n v="2500"/>
    <n v="1"/>
    <s v="Online"/>
    <s v="UPI"/>
    <n v="4.4000000000000004"/>
    <x v="1"/>
  </r>
  <r>
    <n v="1010"/>
    <x v="9"/>
    <s v="Delhi"/>
    <s v="Skincare"/>
    <s v="Moisturizer"/>
    <n v="37"/>
    <s v="Female"/>
    <n v="1100"/>
    <n v="2"/>
    <s v="Retail Store"/>
    <s v="Card"/>
    <n v="4.3"/>
    <x v="2"/>
  </r>
  <r>
    <n v="1011"/>
    <x v="10"/>
    <s v="Bengaluru"/>
    <s v="Skincare"/>
    <s v="Face Serum"/>
    <n v="25"/>
    <s v="Female"/>
    <n v="2400"/>
    <n v="3"/>
    <s v="Online"/>
    <s v="UPI"/>
    <n v="4.9000000000000004"/>
    <x v="1"/>
  </r>
  <r>
    <n v="1012"/>
    <x v="11"/>
    <s v="Mumbai"/>
    <s v="Haircare"/>
    <s v="Shampoo"/>
    <n v="30"/>
    <s v="Female"/>
    <n v="1300"/>
    <n v="2"/>
    <s v="Retail Store"/>
    <s v="Card"/>
    <n v="4.0999999999999996"/>
    <x v="1"/>
  </r>
  <r>
    <n v="1013"/>
    <x v="12"/>
    <s v="Delhi"/>
    <s v="Makeup"/>
    <s v="Lipstick"/>
    <n v="23"/>
    <s v="Female"/>
    <n v="900"/>
    <n v="2"/>
    <s v="Online"/>
    <s v="UPI"/>
    <n v="4.5"/>
    <x v="0"/>
  </r>
  <r>
    <n v="1014"/>
    <x v="13"/>
    <s v="Bengaluru"/>
    <s v="Wellness"/>
    <s v="Vitamin Pack"/>
    <n v="42"/>
    <s v="Male"/>
    <n v="2800"/>
    <n v="2"/>
    <s v="Online"/>
    <s v="Card"/>
    <n v="4.5999999999999996"/>
    <x v="2"/>
  </r>
  <r>
    <n v="1015"/>
    <x v="14"/>
    <s v="Pune"/>
    <s v="Fragrance"/>
    <s v="Perfume"/>
    <n v="28"/>
    <s v="Female"/>
    <n v="3200"/>
    <n v="2"/>
    <s v="Online"/>
    <s v="Wallet"/>
    <n v="4.8"/>
    <x v="1"/>
  </r>
  <r>
    <n v="1016"/>
    <x v="15"/>
    <s v="Chennai"/>
    <s v="Skincare"/>
    <s v="Face Wash"/>
    <n v="21"/>
    <s v="Female"/>
    <n v="700"/>
    <n v="2"/>
    <s v="Retail Store"/>
    <s v="Cash"/>
    <n v="3.8"/>
    <x v="0"/>
  </r>
  <r>
    <n v="1017"/>
    <x v="16"/>
    <s v="Hyderabad"/>
    <s v="Haircare"/>
    <s v="Hair Oil"/>
    <n v="36"/>
    <s v="Male"/>
    <n v="1050"/>
    <n v="2"/>
    <s v="Online"/>
    <s v="UPI"/>
    <n v="4"/>
    <x v="2"/>
  </r>
  <r>
    <n v="1018"/>
    <x v="17"/>
    <s v="Bengaluru"/>
    <s v="Makeup"/>
    <s v="Foundation"/>
    <n v="29"/>
    <s v="Female"/>
    <n v="2300"/>
    <n v="2"/>
    <s v="Online"/>
    <s v="Card"/>
    <n v="4.7"/>
    <x v="1"/>
  </r>
  <r>
    <n v="1019"/>
    <x v="18"/>
    <s v="Mumbai"/>
    <s v="Wellness"/>
    <s v="Protein Powder"/>
    <n v="34"/>
    <s v="Male"/>
    <n v="2700"/>
    <n v="1"/>
    <s v="Online"/>
    <s v="UPI"/>
    <n v="4.5"/>
    <x v="1"/>
  </r>
  <r>
    <n v="1020"/>
    <x v="19"/>
    <s v="Delhi"/>
    <s v="Skincare"/>
    <s v="Moisturizer"/>
    <n v="39"/>
    <s v="Female"/>
    <n v="1250"/>
    <n v="2"/>
    <s v="Retail Store"/>
    <s v="Card"/>
    <n v="4.2"/>
    <x v="2"/>
  </r>
  <r>
    <n v="1021"/>
    <x v="20"/>
    <s v="Bengaluru"/>
    <s v="Skincare"/>
    <s v="Face Serum"/>
    <n v="26"/>
    <s v="Female"/>
    <n v="1850"/>
    <n v="2"/>
    <s v="Online"/>
    <s v="UPI"/>
    <n v="4.5999999999999996"/>
    <x v="1"/>
  </r>
  <r>
    <n v="1022"/>
    <x v="21"/>
    <s v="Mumbai"/>
    <s v="Haircare"/>
    <s v="Shampoo"/>
    <n v="32"/>
    <s v="Female"/>
    <n v="950"/>
    <n v="2"/>
    <s v="Retail Store"/>
    <s v="Card"/>
    <n v="4.0999999999999996"/>
    <x v="1"/>
  </r>
  <r>
    <n v="1023"/>
    <x v="22"/>
    <s v="Delhi"/>
    <s v="Makeup"/>
    <s v="Lipstick"/>
    <n v="28"/>
    <s v="Female"/>
    <n v="1650"/>
    <n v="3"/>
    <s v="Online"/>
    <s v="UPI"/>
    <n v="4.7"/>
    <x v="1"/>
  </r>
  <r>
    <n v="1024"/>
    <x v="23"/>
    <s v="Bengaluru"/>
    <s v="Wellness"/>
    <s v="Vitamin Pack"/>
    <n v="38"/>
    <s v="Male"/>
    <n v="2450"/>
    <n v="2"/>
    <s v="Online"/>
    <s v="Card"/>
    <n v="4.3"/>
    <x v="2"/>
  </r>
  <r>
    <n v="1025"/>
    <x v="24"/>
    <s v="Pune"/>
    <s v="Fragrance"/>
    <s v="Perfume"/>
    <n v="30"/>
    <s v="Female"/>
    <n v="2750"/>
    <n v="2"/>
    <s v="Online"/>
    <s v="Wallet"/>
    <n v="4.8"/>
    <x v="1"/>
  </r>
  <r>
    <n v="1026"/>
    <x v="25"/>
    <s v="Chennai"/>
    <s v="Skincare"/>
    <s v="Face Wash"/>
    <n v="23"/>
    <s v="Female"/>
    <n v="780"/>
    <n v="2"/>
    <s v="Retail Store"/>
    <s v="Cash"/>
    <n v="4"/>
    <x v="0"/>
  </r>
  <r>
    <n v="1027"/>
    <x v="26"/>
    <s v="Hyderabad"/>
    <s v="Haircare"/>
    <s v="Hair Oil"/>
    <n v="41"/>
    <s v="Male"/>
    <n v="1150"/>
    <n v="2"/>
    <s v="Retail Store"/>
    <s v="UPI"/>
    <n v="4.2"/>
    <x v="2"/>
  </r>
  <r>
    <n v="1028"/>
    <x v="27"/>
    <s v="Bengaluru"/>
    <s v="Makeup"/>
    <s v="Foundation"/>
    <n v="27"/>
    <s v="Female"/>
    <n v="1950"/>
    <n v="2"/>
    <s v="Online"/>
    <s v="Card"/>
    <n v="4.5"/>
    <x v="1"/>
  </r>
  <r>
    <n v="1029"/>
    <x v="28"/>
    <s v="Mumbai"/>
    <s v="Wellness"/>
    <s v="Protein Powder"/>
    <n v="36"/>
    <s v="Male"/>
    <n v="3100"/>
    <n v="2"/>
    <s v="Online"/>
    <s v="UPI"/>
    <n v="4.5999999999999996"/>
    <x v="2"/>
  </r>
  <r>
    <n v="1030"/>
    <x v="29"/>
    <s v="Delhi"/>
    <s v="Skincare"/>
    <s v="Moisturizer"/>
    <n v="34"/>
    <s v="Female"/>
    <n v="1350"/>
    <n v="2"/>
    <s v="Retail Store"/>
    <s v="Card"/>
    <n v="4.4000000000000004"/>
    <x v="1"/>
  </r>
  <r>
    <n v="1031"/>
    <x v="30"/>
    <s v="Bengaluru"/>
    <s v="Skincare"/>
    <s v="Face Serum"/>
    <n v="24"/>
    <s v="Female"/>
    <n v="2600"/>
    <n v="3"/>
    <s v="Online"/>
    <s v="UPI"/>
    <n v="4.9000000000000004"/>
    <x v="0"/>
  </r>
  <r>
    <n v="1032"/>
    <x v="31"/>
    <s v="Mumbai"/>
    <s v="Haircare"/>
    <s v="Shampoo"/>
    <n v="29"/>
    <s v="Female"/>
    <n v="1250"/>
    <n v="2"/>
    <s v="Retail Store"/>
    <s v="Card"/>
    <n v="4"/>
    <x v="1"/>
  </r>
  <r>
    <n v="1033"/>
    <x v="32"/>
    <s v="Delhi"/>
    <s v="Makeup"/>
    <s v="Lipstick"/>
    <n v="25"/>
    <s v="Female"/>
    <n v="1750"/>
    <n v="3"/>
    <s v="Online"/>
    <s v="UPI"/>
    <n v="4.5999999999999996"/>
    <x v="1"/>
  </r>
  <r>
    <n v="1034"/>
    <x v="33"/>
    <s v="Bengaluru"/>
    <s v="Wellness"/>
    <s v="Vitamin Pack"/>
    <n v="43"/>
    <s v="Male"/>
    <n v="2900"/>
    <n v="2"/>
    <s v="Online"/>
    <s v="Card"/>
    <n v="4.7"/>
    <x v="2"/>
  </r>
  <r>
    <n v="1035"/>
    <x v="34"/>
    <s v="Pune"/>
    <s v="Fragrance"/>
    <s v="Perfume"/>
    <n v="31"/>
    <s v="Female"/>
    <n v="3500"/>
    <n v="2"/>
    <s v="Online"/>
    <s v="Wallet"/>
    <n v="4.9000000000000004"/>
    <x v="1"/>
  </r>
  <r>
    <n v="1036"/>
    <x v="35"/>
    <s v="Chennai"/>
    <s v="Skincare"/>
    <s v="Face Wash"/>
    <n v="22"/>
    <s v="Female"/>
    <n v="720"/>
    <n v="2"/>
    <s v="Retail Store"/>
    <s v="Cash"/>
    <n v="3.9"/>
    <x v="0"/>
  </r>
  <r>
    <n v="1037"/>
    <x v="36"/>
    <s v="Hyderabad"/>
    <s v="Haircare"/>
    <s v="Hair Oil"/>
    <n v="37"/>
    <s v="Male"/>
    <n v="980"/>
    <n v="2"/>
    <s v="Online"/>
    <s v="UPI"/>
    <n v="4.0999999999999996"/>
    <x v="2"/>
  </r>
  <r>
    <n v="1038"/>
    <x v="37"/>
    <s v="Bengaluru"/>
    <s v="Makeup"/>
    <s v="Foundation"/>
    <n v="28"/>
    <s v="Female"/>
    <n v="2400"/>
    <n v="2"/>
    <s v="Online"/>
    <s v="Card"/>
    <n v="4.8"/>
    <x v="1"/>
  </r>
  <r>
    <n v="1039"/>
    <x v="38"/>
    <s v="Mumbai"/>
    <s v="Wellness"/>
    <s v="Protein Powder"/>
    <n v="35"/>
    <s v="Male"/>
    <n v="3300"/>
    <n v="1"/>
    <s v="Online"/>
    <s v="UPI"/>
    <n v="4.5"/>
    <x v="2"/>
  </r>
  <r>
    <n v="1040"/>
    <x v="39"/>
    <s v="Delhi"/>
    <s v="Skincare"/>
    <s v="Moisturizer"/>
    <n v="40"/>
    <s v="Female"/>
    <n v="1450"/>
    <n v="2"/>
    <s v="Retail Store"/>
    <s v="Card"/>
    <n v="4.3"/>
    <x v="2"/>
  </r>
  <r>
    <n v="1041"/>
    <x v="40"/>
    <s v="Bengaluru"/>
    <s v="Skincare"/>
    <s v="Face Serum"/>
    <n v="27"/>
    <s v="Female"/>
    <n v="2800"/>
    <n v="3"/>
    <s v="Online"/>
    <s v="UPI"/>
    <n v="4.8"/>
    <x v="1"/>
  </r>
  <r>
    <n v="1042"/>
    <x v="41"/>
    <s v="Mumbai"/>
    <s v="Haircare"/>
    <s v="Shampoo"/>
    <n v="33"/>
    <s v="Female"/>
    <n v="1100"/>
    <n v="2"/>
    <s v="Retail Store"/>
    <s v="Card"/>
    <n v="4.2"/>
    <x v="1"/>
  </r>
  <r>
    <n v="1043"/>
    <x v="42"/>
    <s v="Delhi"/>
    <s v="Makeup"/>
    <s v="Lipstick"/>
    <n v="24"/>
    <s v="Female"/>
    <n v="1900"/>
    <n v="3"/>
    <s v="Online"/>
    <s v="UPI"/>
    <n v="4.7"/>
    <x v="0"/>
  </r>
  <r>
    <n v="1044"/>
    <x v="43"/>
    <s v="Bengaluru"/>
    <s v="Wellness"/>
    <s v="Vitamin Pack"/>
    <n v="39"/>
    <s v="Male"/>
    <n v="3150"/>
    <n v="2"/>
    <s v="Online"/>
    <s v="Card"/>
    <n v="4.5999999999999996"/>
    <x v="2"/>
  </r>
  <r>
    <n v="1045"/>
    <x v="44"/>
    <s v="Pune"/>
    <s v="Fragrance"/>
    <s v="Perfume"/>
    <n v="29"/>
    <s v="Female"/>
    <n v="2900"/>
    <n v="2"/>
    <s v="Online"/>
    <s v="Wallet"/>
    <n v="4.8"/>
    <x v="1"/>
  </r>
  <r>
    <n v="1046"/>
    <x v="45"/>
    <s v="Chennai"/>
    <s v="Skincare"/>
    <s v="Face Wash"/>
    <n v="21"/>
    <s v="Female"/>
    <n v="600"/>
    <n v="1"/>
    <s v="Retail Store"/>
    <s v="Cash"/>
    <n v="3.7"/>
    <x v="0"/>
  </r>
  <r>
    <n v="1047"/>
    <x v="46"/>
    <s v="Hyderabad"/>
    <s v="Haircare"/>
    <s v="Hair Oil"/>
    <n v="44"/>
    <s v="Male"/>
    <n v="1250"/>
    <n v="2"/>
    <s v="Retail Store"/>
    <s v="UPI"/>
    <n v="4"/>
    <x v="2"/>
  </r>
  <r>
    <n v="1048"/>
    <x v="47"/>
    <s v="Bengaluru"/>
    <s v="Makeup"/>
    <s v="Foundation"/>
    <n v="30"/>
    <s v="Female"/>
    <n v="2550"/>
    <n v="2"/>
    <s v="Online"/>
    <s v="Card"/>
    <n v="4.9000000000000004"/>
    <x v="1"/>
  </r>
  <r>
    <n v="1049"/>
    <x v="48"/>
    <s v="Mumbai"/>
    <s v="Wellness"/>
    <s v="Protein Powder"/>
    <n v="32"/>
    <s v="Male"/>
    <n v="2850"/>
    <n v="1"/>
    <s v="Online"/>
    <s v="UPI"/>
    <n v="4.4000000000000004"/>
    <x v="1"/>
  </r>
  <r>
    <n v="1050"/>
    <x v="49"/>
    <s v="Delhi"/>
    <s v="Skincare"/>
    <s v="Moisturizer"/>
    <n v="36"/>
    <s v="Female"/>
    <n v="1300"/>
    <n v="2"/>
    <s v="Retail Store"/>
    <s v="Card"/>
    <n v="4.2"/>
    <x v="2"/>
  </r>
  <r>
    <n v="1051"/>
    <x v="50"/>
    <s v="Bengaluru"/>
    <s v="Skincare"/>
    <s v="Face Serum"/>
    <n v="23"/>
    <s v="Female"/>
    <n v="2250"/>
    <n v="2"/>
    <s v="Online"/>
    <s v="UPI"/>
    <n v="4.7"/>
    <x v="0"/>
  </r>
  <r>
    <n v="1052"/>
    <x v="51"/>
    <s v="Mumbai"/>
    <s v="Haircare"/>
    <s v="Shampoo"/>
    <n v="35"/>
    <s v="Female"/>
    <n v="1050"/>
    <n v="2"/>
    <s v="Retail Store"/>
    <s v="Card"/>
    <n v="4.0999999999999996"/>
    <x v="2"/>
  </r>
  <r>
    <n v="1053"/>
    <x v="52"/>
    <s v="Delhi"/>
    <s v="Makeup"/>
    <s v="Lipstick"/>
    <n v="26"/>
    <s v="Female"/>
    <n v="2100"/>
    <n v="3"/>
    <s v="Online"/>
    <s v="UPI"/>
    <n v="4.8"/>
    <x v="1"/>
  </r>
  <r>
    <n v="1054"/>
    <x v="53"/>
    <s v="Bengaluru"/>
    <s v="Wellness"/>
    <s v="Vitamin Pack"/>
    <n v="41"/>
    <s v="Male"/>
    <n v="2750"/>
    <n v="2"/>
    <s v="Online"/>
    <s v="Card"/>
    <n v="4.5"/>
    <x v="2"/>
  </r>
  <r>
    <n v="1055"/>
    <x v="54"/>
    <s v="Pune"/>
    <s v="Fragrance"/>
    <s v="Perfume"/>
    <n v="34"/>
    <s v="Female"/>
    <n v="3800"/>
    <n v="2"/>
    <s v="Online"/>
    <s v="Wallet"/>
    <n v="4.9000000000000004"/>
    <x v="1"/>
  </r>
  <r>
    <n v="1056"/>
    <x v="55"/>
    <s v="Chennai"/>
    <s v="Skincare"/>
    <s v="Face Wash"/>
    <n v="20"/>
    <s v="Female"/>
    <n v="650"/>
    <n v="2"/>
    <s v="Retail Store"/>
    <s v="Cash"/>
    <n v="3.8"/>
    <x v="0"/>
  </r>
  <r>
    <n v="1057"/>
    <x v="56"/>
    <s v="Hyderabad"/>
    <s v="Haircare"/>
    <s v="Hair Oil"/>
    <n v="39"/>
    <s v="Male"/>
    <n v="1180"/>
    <n v="2"/>
    <s v="Online"/>
    <s v="UPI"/>
    <n v="4.2"/>
    <x v="2"/>
  </r>
  <r>
    <n v="1058"/>
    <x v="57"/>
    <s v="Bengaluru"/>
    <s v="Makeup"/>
    <s v="Foundation"/>
    <n v="27"/>
    <s v="Female"/>
    <n v="2200"/>
    <n v="2"/>
    <s v="Online"/>
    <s v="Card"/>
    <n v="4.5999999999999996"/>
    <x v="1"/>
  </r>
  <r>
    <n v="1059"/>
    <x v="58"/>
    <s v="Mumbai"/>
    <s v="Wellness"/>
    <s v="Protein Powder"/>
    <n v="37"/>
    <s v="Male"/>
    <n v="3050"/>
    <n v="1"/>
    <s v="Online"/>
    <s v="UPI"/>
    <n v="4.7"/>
    <x v="2"/>
  </r>
  <r>
    <n v="1060"/>
    <x v="59"/>
    <s v="Delhi"/>
    <s v="Skincare"/>
    <s v="Moisturizer"/>
    <n v="31"/>
    <s v="Female"/>
    <n v="1400"/>
    <n v="2"/>
    <s v="Retail Store"/>
    <s v="Card"/>
    <n v="4.4000000000000004"/>
    <x v="1"/>
  </r>
  <r>
    <n v="1061"/>
    <x v="60"/>
    <s v="Bengaluru"/>
    <s v="Skincare"/>
    <s v="Face Serum"/>
    <n v="25"/>
    <s v="Female"/>
    <n v="2950"/>
    <n v="3"/>
    <s v="Online"/>
    <s v="UPI"/>
    <n v="4.9000000000000004"/>
    <x v="1"/>
  </r>
  <r>
    <n v="1062"/>
    <x v="61"/>
    <s v="Mumbai"/>
    <s v="Haircare"/>
    <s v="Shampoo"/>
    <n v="28"/>
    <s v="Female"/>
    <n v="1350"/>
    <n v="2"/>
    <s v="Retail Store"/>
    <s v="Card"/>
    <n v="4.3"/>
    <x v="1"/>
  </r>
  <r>
    <n v="1063"/>
    <x v="62"/>
    <s v="Delhi"/>
    <s v="Makeup"/>
    <s v="Lipstick"/>
    <n v="29"/>
    <s v="Female"/>
    <n v="2300"/>
    <n v="3"/>
    <s v="Online"/>
    <s v="UPI"/>
    <n v="4.8"/>
    <x v="1"/>
  </r>
  <r>
    <n v="1064"/>
    <x v="63"/>
    <s v="Bengaluru"/>
    <s v="Wellness"/>
    <s v="Vitamin Pack"/>
    <n v="45"/>
    <s v="Male"/>
    <n v="3400"/>
    <n v="2"/>
    <s v="Online"/>
    <s v="Card"/>
    <n v="4.7"/>
    <x v="3"/>
  </r>
  <r>
    <n v="1065"/>
    <x v="64"/>
    <s v="Pune"/>
    <s v="Fragrance"/>
    <s v="Perfume"/>
    <n v="32"/>
    <s v="Female"/>
    <n v="4200"/>
    <n v="3"/>
    <s v="Online"/>
    <s v="Wallet"/>
    <n v="5"/>
    <x v="1"/>
  </r>
  <r>
    <n v="1066"/>
    <x v="65"/>
    <s v="Chennai"/>
    <s v="Skincare"/>
    <s v="Face Wash"/>
    <n v="24"/>
    <s v="Female"/>
    <n v="750"/>
    <n v="2"/>
    <s v="Retail Store"/>
    <s v="Cash"/>
    <n v="4"/>
    <x v="0"/>
  </r>
  <r>
    <n v="1067"/>
    <x v="66"/>
    <s v="Hyderabad"/>
    <s v="Haircare"/>
    <s v="Hair Oil"/>
    <n v="42"/>
    <s v="Male"/>
    <n v="1280"/>
    <n v="2"/>
    <s v="Online"/>
    <s v="UPI"/>
    <n v="4.0999999999999996"/>
    <x v="2"/>
  </r>
  <r>
    <n v="1068"/>
    <x v="67"/>
    <s v="Bengaluru"/>
    <s v="Makeup"/>
    <s v="Foundation"/>
    <n v="26"/>
    <s v="Female"/>
    <n v="2700"/>
    <n v="2"/>
    <s v="Online"/>
    <s v="Card"/>
    <n v="4.9000000000000004"/>
    <x v="1"/>
  </r>
  <r>
    <n v="1069"/>
    <x v="68"/>
    <s v="Mumbai"/>
    <s v="Wellness"/>
    <s v="Protein Powder"/>
    <n v="34"/>
    <s v="Male"/>
    <n v="3600"/>
    <n v="2"/>
    <s v="Online"/>
    <s v="UPI"/>
    <n v="4.5999999999999996"/>
    <x v="1"/>
  </r>
  <r>
    <n v="1070"/>
    <x v="69"/>
    <s v="Delhi"/>
    <s v="Skincare"/>
    <s v="Moisturizer"/>
    <n v="38"/>
    <s v="Female"/>
    <n v="1550"/>
    <n v="2"/>
    <s v="Retail Store"/>
    <s v="Card"/>
    <n v="4.5"/>
    <x v="2"/>
  </r>
  <r>
    <n v="1071"/>
    <x v="70"/>
    <s v="Bengaluru"/>
    <s v="Skincare"/>
    <s v="Face Serum"/>
    <n v="28"/>
    <s v="Female"/>
    <n v="3100"/>
    <n v="3"/>
    <s v="Online"/>
    <s v="UPI"/>
    <n v="4.9000000000000004"/>
    <x v="1"/>
  </r>
  <r>
    <n v="1072"/>
    <x v="71"/>
    <s v="Mumbai"/>
    <s v="Haircare"/>
    <s v="Shampoo"/>
    <n v="31"/>
    <s v="Female"/>
    <n v="1450"/>
    <n v="2"/>
    <s v="Retail Store"/>
    <s v="Card"/>
    <n v="4.4000000000000004"/>
    <x v="1"/>
  </r>
  <r>
    <n v="1073"/>
    <x v="72"/>
    <s v="Delhi"/>
    <s v="Makeup"/>
    <s v="Lipstick"/>
    <n v="27"/>
    <s v="Female"/>
    <n v="2450"/>
    <n v="3"/>
    <s v="Online"/>
    <s v="UPI"/>
    <n v="4.8"/>
    <x v="1"/>
  </r>
  <r>
    <n v="1074"/>
    <x v="73"/>
    <s v="Bengaluru"/>
    <s v="Wellness"/>
    <s v="Vitamin Pack"/>
    <n v="40"/>
    <s v="Male"/>
    <n v="3250"/>
    <n v="2"/>
    <s v="Online"/>
    <s v="Card"/>
    <n v="4.7"/>
    <x v="2"/>
  </r>
  <r>
    <n v="1075"/>
    <x v="74"/>
    <s v="Pune"/>
    <s v="Fragrance"/>
    <s v="Perfume"/>
    <n v="33"/>
    <s v="Female"/>
    <n v="4500"/>
    <n v="3"/>
    <s v="Online"/>
    <s v="Wallet"/>
    <n v="5"/>
    <x v="1"/>
  </r>
  <r>
    <n v="1076"/>
    <x v="75"/>
    <s v="Chennai"/>
    <s v="Skincare"/>
    <s v="Face Wash"/>
    <n v="23"/>
    <s v="Female"/>
    <n v="800"/>
    <n v="2"/>
    <s v="Retail Store"/>
    <s v="Cash"/>
    <n v="4.0999999999999996"/>
    <x v="0"/>
  </r>
  <r>
    <n v="1077"/>
    <x v="76"/>
    <s v="Hyderabad"/>
    <s v="Haircare"/>
    <s v="Hair Oil"/>
    <n v="36"/>
    <s v="Male"/>
    <n v="1320"/>
    <n v="2"/>
    <s v="Online"/>
    <s v="UPI"/>
    <n v="4.3"/>
    <x v="2"/>
  </r>
  <r>
    <n v="1078"/>
    <x v="77"/>
    <s v="Bengaluru"/>
    <s v="Makeup"/>
    <s v="Foundation"/>
    <n v="29"/>
    <s v="Female"/>
    <n v="2900"/>
    <n v="2"/>
    <s v="Online"/>
    <s v="Card"/>
    <n v="4.9000000000000004"/>
    <x v="1"/>
  </r>
  <r>
    <n v="1079"/>
    <x v="78"/>
    <s v="Mumbai"/>
    <s v="Wellness"/>
    <s v="Protein Powder"/>
    <n v="39"/>
    <s v="Male"/>
    <n v="3750"/>
    <n v="2"/>
    <s v="Online"/>
    <s v="UPI"/>
    <n v="4.8"/>
    <x v="2"/>
  </r>
  <r>
    <n v="1080"/>
    <x v="79"/>
    <s v="Delhi"/>
    <s v="Skincare"/>
    <s v="Moisturizer"/>
    <n v="35"/>
    <s v="Female"/>
    <n v="1650"/>
    <n v="2"/>
    <s v="Retail Store"/>
    <s v="Card"/>
    <n v="4.5"/>
    <x v="2"/>
  </r>
  <r>
    <n v="1081"/>
    <x v="80"/>
    <s v="Bengaluru"/>
    <s v="Skincare"/>
    <s v="Face Serum"/>
    <n v="26"/>
    <s v="Female"/>
    <n v="3300"/>
    <n v="3"/>
    <s v="Online"/>
    <s v="UPI"/>
    <n v="4.9000000000000004"/>
    <x v="1"/>
  </r>
  <r>
    <n v="1082"/>
    <x v="81"/>
    <s v="Mumbai"/>
    <s v="Haircare"/>
    <s v="Shampoo"/>
    <n v="30"/>
    <s v="Female"/>
    <n v="1500"/>
    <n v="2"/>
    <s v="Retail Store"/>
    <s v="Card"/>
    <n v="4.3"/>
    <x v="1"/>
  </r>
  <r>
    <n v="1083"/>
    <x v="82"/>
    <s v="Delhi"/>
    <s v="Makeup"/>
    <s v="Lipstick"/>
    <n v="25"/>
    <s v="Female"/>
    <n v="2550"/>
    <n v="3"/>
    <s v="Online"/>
    <s v="UPI"/>
    <n v="4.8"/>
    <x v="1"/>
  </r>
  <r>
    <n v="1084"/>
    <x v="83"/>
    <s v="Bengaluru"/>
    <s v="Wellness"/>
    <s v="Vitamin Pack"/>
    <n v="44"/>
    <s v="Male"/>
    <n v="3500"/>
    <n v="2"/>
    <s v="Online"/>
    <s v="Card"/>
    <n v="4.8"/>
    <x v="2"/>
  </r>
  <r>
    <n v="1085"/>
    <x v="84"/>
    <s v="Pune"/>
    <s v="Fragrance"/>
    <s v="Perfume"/>
    <n v="29"/>
    <s v="Female"/>
    <n v="4700"/>
    <n v="3"/>
    <s v="Online"/>
    <s v="Wallet"/>
    <n v="5"/>
    <x v="1"/>
  </r>
  <r>
    <n v="1086"/>
    <x v="85"/>
    <s v="Chennai"/>
    <s v="Skincare"/>
    <s v="Face Wash"/>
    <n v="22"/>
    <s v="Female"/>
    <n v="820"/>
    <n v="2"/>
    <s v="Retail Store"/>
    <s v="Cash"/>
    <n v="4"/>
    <x v="0"/>
  </r>
  <r>
    <n v="1087"/>
    <x v="86"/>
    <s v="Hyderabad"/>
    <s v="Haircare"/>
    <s v="Hair Oil"/>
    <n v="38"/>
    <s v="Male"/>
    <n v="1400"/>
    <n v="2"/>
    <s v="Online"/>
    <s v="UPI"/>
    <n v="4.4000000000000004"/>
    <x v="2"/>
  </r>
  <r>
    <n v="1088"/>
    <x v="87"/>
    <s v="Bengaluru"/>
    <s v="Makeup"/>
    <s v="Foundation"/>
    <n v="27"/>
    <s v="Female"/>
    <n v="3050"/>
    <n v="2"/>
    <s v="Online"/>
    <s v="Card"/>
    <n v="4.9000000000000004"/>
    <x v="1"/>
  </r>
  <r>
    <n v="1089"/>
    <x v="88"/>
    <s v="Mumbai"/>
    <s v="Wellness"/>
    <s v="Protein Powder"/>
    <n v="35"/>
    <s v="Male"/>
    <n v="3900"/>
    <n v="2"/>
    <s v="Online"/>
    <s v="UPI"/>
    <n v="4.8"/>
    <x v="2"/>
  </r>
  <r>
    <n v="1090"/>
    <x v="89"/>
    <s v="Delhi"/>
    <s v="Skincare"/>
    <s v="Moisturizer"/>
    <n v="37"/>
    <s v="Female"/>
    <n v="1750"/>
    <n v="2"/>
    <s v="Retail Store"/>
    <s v="Card"/>
    <n v="4.5999999999999996"/>
    <x v="2"/>
  </r>
  <r>
    <n v="1091"/>
    <x v="90"/>
    <s v="Bengaluru"/>
    <s v="Skincare"/>
    <s v="Face Serum"/>
    <n v="29"/>
    <s v="Female"/>
    <n v="3450"/>
    <n v="3"/>
    <s v="Online"/>
    <s v="UPI"/>
    <n v="5"/>
    <x v="1"/>
  </r>
  <r>
    <n v="1092"/>
    <x v="91"/>
    <s v="Mumbai"/>
    <s v="Haircare"/>
    <s v="Shampoo"/>
    <n v="34"/>
    <s v="Female"/>
    <n v="1600"/>
    <n v="2"/>
    <s v="Retail Store"/>
    <s v="Card"/>
    <n v="4.4000000000000004"/>
    <x v="1"/>
  </r>
  <r>
    <n v="1093"/>
    <x v="92"/>
    <s v="Delhi"/>
    <s v="Makeup"/>
    <s v="Lipstick"/>
    <n v="28"/>
    <s v="Female"/>
    <n v="2700"/>
    <n v="3"/>
    <s v="Online"/>
    <s v="UPI"/>
    <n v="4.9000000000000004"/>
    <x v="1"/>
  </r>
  <r>
    <n v="1094"/>
    <x v="93"/>
    <s v="Bengaluru"/>
    <s v="Wellness"/>
    <s v="Vitamin Pack"/>
    <n v="42"/>
    <s v="Male"/>
    <n v="3700"/>
    <n v="2"/>
    <s v="Online"/>
    <s v="Card"/>
    <n v="4.8"/>
    <x v="2"/>
  </r>
  <r>
    <n v="1095"/>
    <x v="94"/>
    <s v="Pune"/>
    <s v="Fragrance"/>
    <s v="Perfume"/>
    <n v="31"/>
    <s v="Female"/>
    <n v="5200"/>
    <n v="3"/>
    <s v="Online"/>
    <s v="Wallet"/>
    <n v="5"/>
    <x v="1"/>
  </r>
  <r>
    <n v="1096"/>
    <x v="95"/>
    <s v="Chennai"/>
    <s v="Skincare"/>
    <s v="Face Wash"/>
    <n v="24"/>
    <s v="Female"/>
    <n v="850"/>
    <n v="2"/>
    <s v="Retail Store"/>
    <s v="Cash"/>
    <n v="4.0999999999999996"/>
    <x v="0"/>
  </r>
  <r>
    <n v="1097"/>
    <x v="96"/>
    <s v="Hyderabad"/>
    <s v="Haircare"/>
    <s v="Hair Oil"/>
    <n v="40"/>
    <s v="Male"/>
    <n v="1450"/>
    <n v="2"/>
    <s v="Online"/>
    <s v="UPI"/>
    <n v="4.3"/>
    <x v="2"/>
  </r>
  <r>
    <n v="1098"/>
    <x v="97"/>
    <s v="Bengaluru"/>
    <s v="Makeup"/>
    <s v="Foundation"/>
    <n v="30"/>
    <s v="Female"/>
    <n v="3200"/>
    <n v="2"/>
    <s v="Online"/>
    <s v="Card"/>
    <n v="4.9000000000000004"/>
    <x v="1"/>
  </r>
  <r>
    <n v="1099"/>
    <x v="98"/>
    <s v="Mumbai"/>
    <s v="Wellness"/>
    <s v="Protein Powder"/>
    <n v="36"/>
    <s v="Male"/>
    <n v="4100"/>
    <n v="2"/>
    <s v="Online"/>
    <s v="UPI"/>
    <n v="4.8"/>
    <x v="2"/>
  </r>
  <r>
    <n v="1100"/>
    <x v="99"/>
    <s v="Delhi"/>
    <s v="Skincare"/>
    <s v="Moisturizer"/>
    <n v="33"/>
    <s v="Female"/>
    <n v="1800"/>
    <n v="2"/>
    <s v="Retail Store"/>
    <s v="Card"/>
    <n v="4.5999999999999996"/>
    <x v="1"/>
  </r>
  <r>
    <n v="1101"/>
    <x v="100"/>
    <s v="Bengaluru"/>
    <s v="Skincare"/>
    <s v="Face Serum"/>
    <n v="30"/>
    <s v="Female"/>
    <n v="3600"/>
    <n v="3"/>
    <s v="Online"/>
    <s v="UPI"/>
    <n v="5"/>
    <x v="1"/>
  </r>
  <r>
    <n v="1102"/>
    <x v="101"/>
    <s v="Mumbai"/>
    <s v="Haircare"/>
    <s v="Shampoo"/>
    <n v="32"/>
    <s v="Female"/>
    <n v="1700"/>
    <n v="2"/>
    <s v="Retail Store"/>
    <s v="Card"/>
    <n v="4.5"/>
    <x v="1"/>
  </r>
  <r>
    <n v="1103"/>
    <x v="102"/>
    <s v="Delhi"/>
    <s v="Makeup"/>
    <s v="Lipstick"/>
    <n v="27"/>
    <s v="Female"/>
    <n v="2900"/>
    <n v="3"/>
    <s v="Online"/>
    <s v="UPI"/>
    <n v="4.9000000000000004"/>
    <x v="1"/>
  </r>
  <r>
    <n v="1104"/>
    <x v="103"/>
    <s v="Bengaluru"/>
    <s v="Wellness"/>
    <s v="Vitamin Pack"/>
    <n v="39"/>
    <s v="Male"/>
    <n v="3950"/>
    <n v="2"/>
    <s v="Online"/>
    <s v="Card"/>
    <n v="4.9000000000000004"/>
    <x v="2"/>
  </r>
  <r>
    <n v="1105"/>
    <x v="104"/>
    <s v="Pune"/>
    <s v="Fragrance"/>
    <s v="Perfume"/>
    <n v="35"/>
    <s v="Female"/>
    <n v="5500"/>
    <n v="3"/>
    <s v="Online"/>
    <s v="Wallet"/>
    <n v="5"/>
    <x v="2"/>
  </r>
  <r>
    <n v="1106"/>
    <x v="105"/>
    <s v="Chennai"/>
    <s v="Skincare"/>
    <s v="Face Wash"/>
    <n v="25"/>
    <s v="Female"/>
    <n v="900"/>
    <n v="2"/>
    <s v="Retail Store"/>
    <s v="Cash"/>
    <n v="4.2"/>
    <x v="1"/>
  </r>
  <r>
    <n v="1107"/>
    <x v="106"/>
    <s v="Hyderabad"/>
    <s v="Haircare"/>
    <s v="Hair Oil"/>
    <n v="43"/>
    <s v="Male"/>
    <n v="1500"/>
    <n v="2"/>
    <s v="Online"/>
    <s v="UPI"/>
    <n v="4.4000000000000004"/>
    <x v="2"/>
  </r>
  <r>
    <n v="1108"/>
    <x v="107"/>
    <s v="Bengaluru"/>
    <s v="Makeup"/>
    <s v="Foundation"/>
    <n v="31"/>
    <s v="Female"/>
    <n v="3400"/>
    <n v="2"/>
    <s v="Online"/>
    <s v="Card"/>
    <n v="4.9000000000000004"/>
    <x v="1"/>
  </r>
  <r>
    <n v="1109"/>
    <x v="108"/>
    <s v="Mumbai"/>
    <s v="Wellness"/>
    <s v="Protein Powder"/>
    <n v="37"/>
    <s v="Male"/>
    <n v="4300"/>
    <n v="2"/>
    <s v="Online"/>
    <s v="UPI"/>
    <n v="4.9000000000000004"/>
    <x v="2"/>
  </r>
  <r>
    <n v="1110"/>
    <x v="109"/>
    <s v="Delhi"/>
    <s v="Skincare"/>
    <s v="Moisturizer"/>
    <n v="34"/>
    <s v="Female"/>
    <n v="1900"/>
    <n v="2"/>
    <s v="Retail Store"/>
    <s v="Card"/>
    <n v="4.7"/>
    <x v="1"/>
  </r>
  <r>
    <n v="1111"/>
    <x v="110"/>
    <s v="Bengaluru"/>
    <s v="Skincare"/>
    <s v="Face Serum"/>
    <n v="32"/>
    <s v="Female"/>
    <n v="3800"/>
    <n v="3"/>
    <s v="Online"/>
    <s v="UPI"/>
    <n v="5"/>
    <x v="1"/>
  </r>
  <r>
    <n v="1112"/>
    <x v="111"/>
    <s v="Mumbai"/>
    <s v="Haircare"/>
    <s v="Shampoo"/>
    <n v="35"/>
    <s v="Female"/>
    <n v="1800"/>
    <n v="2"/>
    <s v="Retail Store"/>
    <s v="Card"/>
    <n v="4.5999999999999996"/>
    <x v="2"/>
  </r>
  <r>
    <n v="1113"/>
    <x v="112"/>
    <s v="Delhi"/>
    <s v="Makeup"/>
    <s v="Lipstick"/>
    <n v="29"/>
    <s v="Female"/>
    <n v="3100"/>
    <n v="3"/>
    <s v="Online"/>
    <s v="UPI"/>
    <n v="4.9000000000000004"/>
    <x v="1"/>
  </r>
  <r>
    <n v="1114"/>
    <x v="113"/>
    <s v="Bengaluru"/>
    <s v="Wellness"/>
    <s v="Vitamin Pack"/>
    <n v="41"/>
    <s v="Male"/>
    <n v="4200"/>
    <n v="2"/>
    <s v="Online"/>
    <s v="Card"/>
    <n v="4.9000000000000004"/>
    <x v="2"/>
  </r>
  <r>
    <n v="1115"/>
    <x v="114"/>
    <s v="Pune"/>
    <s v="Fragrance"/>
    <s v="Perfume"/>
    <n v="36"/>
    <s v="Female"/>
    <n v="6000"/>
    <n v="3"/>
    <s v="Online"/>
    <s v="Wallet"/>
    <n v="5"/>
    <x v="2"/>
  </r>
  <r>
    <n v="1116"/>
    <x v="115"/>
    <s v="Chennai"/>
    <s v="Skincare"/>
    <s v="Face Wash"/>
    <n v="26"/>
    <s v="Female"/>
    <n v="950"/>
    <n v="2"/>
    <s v="Retail Store"/>
    <s v="Cash"/>
    <n v="4.3"/>
    <x v="1"/>
  </r>
  <r>
    <n v="1117"/>
    <x v="116"/>
    <s v="Hyderabad"/>
    <s v="Haircare"/>
    <s v="Hair Oil"/>
    <n v="44"/>
    <s v="Male"/>
    <n v="1550"/>
    <n v="2"/>
    <s v="Online"/>
    <s v="UPI"/>
    <n v="4.5"/>
    <x v="2"/>
  </r>
  <r>
    <n v="1118"/>
    <x v="117"/>
    <s v="Bengaluru"/>
    <s v="Makeup"/>
    <s v="Foundation"/>
    <n v="33"/>
    <s v="Female"/>
    <n v="3650"/>
    <n v="2"/>
    <s v="Online"/>
    <s v="Card"/>
    <n v="5"/>
    <x v="1"/>
  </r>
  <r>
    <n v="1119"/>
    <x v="118"/>
    <s v="Mumbai"/>
    <s v="Wellness"/>
    <s v="Protein Powder"/>
    <n v="38"/>
    <s v="Male"/>
    <n v="4500"/>
    <n v="2"/>
    <s v="Online"/>
    <s v="UPI"/>
    <n v="4.9000000000000004"/>
    <x v="2"/>
  </r>
  <r>
    <n v="1120"/>
    <x v="119"/>
    <s v="Delhi"/>
    <s v="Skincare"/>
    <s v="Moisturizer"/>
    <n v="36"/>
    <s v="Female"/>
    <n v="2000"/>
    <n v="2"/>
    <s v="Retail Store"/>
    <s v="Card"/>
    <n v="4.8"/>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115"/>
    <x v="0"/>
    <x v="0"/>
    <x v="0"/>
    <x v="0"/>
    <n v="36"/>
    <x v="0"/>
    <n v="6000"/>
    <n v="3"/>
    <x v="0"/>
    <s v="Wallet"/>
    <x v="0"/>
    <x v="0"/>
  </r>
  <r>
    <n v="1105"/>
    <x v="1"/>
    <x v="0"/>
    <x v="0"/>
    <x v="0"/>
    <n v="35"/>
    <x v="0"/>
    <n v="5500"/>
    <n v="3"/>
    <x v="0"/>
    <s v="Wallet"/>
    <x v="0"/>
    <x v="0"/>
  </r>
  <r>
    <n v="1095"/>
    <x v="2"/>
    <x v="0"/>
    <x v="0"/>
    <x v="0"/>
    <n v="31"/>
    <x v="0"/>
    <n v="5200"/>
    <n v="3"/>
    <x v="0"/>
    <s v="Wallet"/>
    <x v="0"/>
    <x v="1"/>
  </r>
  <r>
    <n v="1085"/>
    <x v="3"/>
    <x v="0"/>
    <x v="0"/>
    <x v="0"/>
    <n v="29"/>
    <x v="0"/>
    <n v="4700"/>
    <n v="3"/>
    <x v="0"/>
    <s v="Wallet"/>
    <x v="0"/>
    <x v="1"/>
  </r>
  <r>
    <n v="1075"/>
    <x v="4"/>
    <x v="0"/>
    <x v="0"/>
    <x v="0"/>
    <n v="33"/>
    <x v="0"/>
    <n v="4500"/>
    <n v="3"/>
    <x v="0"/>
    <s v="Wallet"/>
    <x v="0"/>
    <x v="1"/>
  </r>
  <r>
    <n v="1119"/>
    <x v="5"/>
    <x v="1"/>
    <x v="1"/>
    <x v="1"/>
    <n v="38"/>
    <x v="1"/>
    <n v="4500"/>
    <n v="2"/>
    <x v="0"/>
    <s v="UPI"/>
    <x v="1"/>
    <x v="0"/>
  </r>
  <r>
    <n v="1109"/>
    <x v="6"/>
    <x v="1"/>
    <x v="1"/>
    <x v="1"/>
    <n v="37"/>
    <x v="1"/>
    <n v="4300"/>
    <n v="2"/>
    <x v="0"/>
    <s v="UPI"/>
    <x v="1"/>
    <x v="0"/>
  </r>
  <r>
    <n v="1065"/>
    <x v="7"/>
    <x v="0"/>
    <x v="0"/>
    <x v="0"/>
    <n v="32"/>
    <x v="0"/>
    <n v="4200"/>
    <n v="3"/>
    <x v="0"/>
    <s v="Wallet"/>
    <x v="0"/>
    <x v="1"/>
  </r>
  <r>
    <n v="1114"/>
    <x v="8"/>
    <x v="2"/>
    <x v="1"/>
    <x v="2"/>
    <n v="41"/>
    <x v="1"/>
    <n v="4200"/>
    <n v="2"/>
    <x v="0"/>
    <s v="Card"/>
    <x v="1"/>
    <x v="0"/>
  </r>
  <r>
    <n v="1099"/>
    <x v="9"/>
    <x v="1"/>
    <x v="1"/>
    <x v="1"/>
    <n v="36"/>
    <x v="1"/>
    <n v="4100"/>
    <n v="2"/>
    <x v="0"/>
    <s v="UPI"/>
    <x v="2"/>
    <x v="0"/>
  </r>
  <r>
    <n v="1104"/>
    <x v="10"/>
    <x v="2"/>
    <x v="1"/>
    <x v="2"/>
    <n v="39"/>
    <x v="1"/>
    <n v="3950"/>
    <n v="2"/>
    <x v="0"/>
    <s v="Card"/>
    <x v="1"/>
    <x v="0"/>
  </r>
  <r>
    <n v="1089"/>
    <x v="11"/>
    <x v="1"/>
    <x v="1"/>
    <x v="1"/>
    <n v="35"/>
    <x v="1"/>
    <n v="3900"/>
    <n v="2"/>
    <x v="0"/>
    <s v="UPI"/>
    <x v="2"/>
    <x v="0"/>
  </r>
  <r>
    <n v="1055"/>
    <x v="12"/>
    <x v="0"/>
    <x v="0"/>
    <x v="0"/>
    <n v="34"/>
    <x v="0"/>
    <n v="3800"/>
    <n v="2"/>
    <x v="0"/>
    <s v="Wallet"/>
    <x v="1"/>
    <x v="1"/>
  </r>
  <r>
    <n v="1111"/>
    <x v="13"/>
    <x v="2"/>
    <x v="2"/>
    <x v="3"/>
    <n v="32"/>
    <x v="0"/>
    <n v="3800"/>
    <n v="3"/>
    <x v="0"/>
    <s v="UPI"/>
    <x v="0"/>
    <x v="1"/>
  </r>
  <r>
    <n v="1079"/>
    <x v="14"/>
    <x v="1"/>
    <x v="1"/>
    <x v="1"/>
    <n v="39"/>
    <x v="1"/>
    <n v="3750"/>
    <n v="2"/>
    <x v="0"/>
    <s v="UPI"/>
    <x v="2"/>
    <x v="0"/>
  </r>
  <r>
    <n v="1094"/>
    <x v="15"/>
    <x v="2"/>
    <x v="1"/>
    <x v="2"/>
    <n v="42"/>
    <x v="1"/>
    <n v="3700"/>
    <n v="2"/>
    <x v="0"/>
    <s v="Card"/>
    <x v="2"/>
    <x v="0"/>
  </r>
  <r>
    <n v="1118"/>
    <x v="16"/>
    <x v="2"/>
    <x v="3"/>
    <x v="4"/>
    <n v="33"/>
    <x v="0"/>
    <n v="3650"/>
    <n v="2"/>
    <x v="0"/>
    <s v="Card"/>
    <x v="0"/>
    <x v="1"/>
  </r>
  <r>
    <n v="1069"/>
    <x v="17"/>
    <x v="1"/>
    <x v="1"/>
    <x v="1"/>
    <n v="34"/>
    <x v="1"/>
    <n v="3600"/>
    <n v="2"/>
    <x v="0"/>
    <s v="UPI"/>
    <x v="3"/>
    <x v="1"/>
  </r>
  <r>
    <n v="1101"/>
    <x v="18"/>
    <x v="2"/>
    <x v="2"/>
    <x v="3"/>
    <n v="30"/>
    <x v="0"/>
    <n v="3600"/>
    <n v="3"/>
    <x v="0"/>
    <s v="UPI"/>
    <x v="0"/>
    <x v="1"/>
  </r>
  <r>
    <n v="1035"/>
    <x v="19"/>
    <x v="0"/>
    <x v="0"/>
    <x v="0"/>
    <n v="31"/>
    <x v="0"/>
    <n v="3500"/>
    <n v="2"/>
    <x v="0"/>
    <s v="Wallet"/>
    <x v="1"/>
    <x v="1"/>
  </r>
  <r>
    <n v="1084"/>
    <x v="20"/>
    <x v="2"/>
    <x v="1"/>
    <x v="2"/>
    <n v="44"/>
    <x v="1"/>
    <n v="3500"/>
    <n v="2"/>
    <x v="0"/>
    <s v="Card"/>
    <x v="2"/>
    <x v="0"/>
  </r>
  <r>
    <n v="1091"/>
    <x v="21"/>
    <x v="2"/>
    <x v="2"/>
    <x v="3"/>
    <n v="29"/>
    <x v="0"/>
    <n v="3450"/>
    <n v="3"/>
    <x v="0"/>
    <s v="UPI"/>
    <x v="0"/>
    <x v="1"/>
  </r>
  <r>
    <n v="1064"/>
    <x v="22"/>
    <x v="2"/>
    <x v="1"/>
    <x v="2"/>
    <n v="45"/>
    <x v="1"/>
    <n v="3400"/>
    <n v="2"/>
    <x v="0"/>
    <s v="Card"/>
    <x v="4"/>
    <x v="2"/>
  </r>
  <r>
    <n v="1108"/>
    <x v="23"/>
    <x v="2"/>
    <x v="3"/>
    <x v="4"/>
    <n v="31"/>
    <x v="0"/>
    <n v="3400"/>
    <n v="2"/>
    <x v="0"/>
    <s v="Card"/>
    <x v="1"/>
    <x v="1"/>
  </r>
  <r>
    <n v="1039"/>
    <x v="24"/>
    <x v="1"/>
    <x v="1"/>
    <x v="1"/>
    <n v="35"/>
    <x v="1"/>
    <n v="3300"/>
    <n v="1"/>
    <x v="0"/>
    <s v="UPI"/>
    <x v="5"/>
    <x v="0"/>
  </r>
  <r>
    <n v="1081"/>
    <x v="25"/>
    <x v="2"/>
    <x v="2"/>
    <x v="3"/>
    <n v="26"/>
    <x v="0"/>
    <n v="3300"/>
    <n v="3"/>
    <x v="0"/>
    <s v="UPI"/>
    <x v="1"/>
    <x v="1"/>
  </r>
  <r>
    <n v="1074"/>
    <x v="26"/>
    <x v="2"/>
    <x v="1"/>
    <x v="2"/>
    <n v="40"/>
    <x v="1"/>
    <n v="3250"/>
    <n v="2"/>
    <x v="0"/>
    <s v="Card"/>
    <x v="4"/>
    <x v="0"/>
  </r>
  <r>
    <n v="1015"/>
    <x v="27"/>
    <x v="0"/>
    <x v="0"/>
    <x v="0"/>
    <n v="28"/>
    <x v="0"/>
    <n v="3200"/>
    <n v="2"/>
    <x v="0"/>
    <s v="Wallet"/>
    <x v="2"/>
    <x v="1"/>
  </r>
  <r>
    <n v="1098"/>
    <x v="28"/>
    <x v="2"/>
    <x v="3"/>
    <x v="4"/>
    <n v="30"/>
    <x v="0"/>
    <n v="3200"/>
    <n v="2"/>
    <x v="0"/>
    <s v="Card"/>
    <x v="1"/>
    <x v="1"/>
  </r>
  <r>
    <n v="1044"/>
    <x v="29"/>
    <x v="2"/>
    <x v="1"/>
    <x v="2"/>
    <n v="39"/>
    <x v="1"/>
    <n v="3150"/>
    <n v="2"/>
    <x v="0"/>
    <s v="Card"/>
    <x v="3"/>
    <x v="0"/>
  </r>
  <r>
    <n v="1029"/>
    <x v="30"/>
    <x v="1"/>
    <x v="1"/>
    <x v="1"/>
    <n v="36"/>
    <x v="1"/>
    <n v="3100"/>
    <n v="2"/>
    <x v="0"/>
    <s v="UPI"/>
    <x v="3"/>
    <x v="0"/>
  </r>
  <r>
    <n v="1071"/>
    <x v="31"/>
    <x v="2"/>
    <x v="2"/>
    <x v="3"/>
    <n v="28"/>
    <x v="0"/>
    <n v="3100"/>
    <n v="3"/>
    <x v="0"/>
    <s v="UPI"/>
    <x v="1"/>
    <x v="1"/>
  </r>
  <r>
    <n v="1113"/>
    <x v="32"/>
    <x v="3"/>
    <x v="3"/>
    <x v="5"/>
    <n v="29"/>
    <x v="0"/>
    <n v="3100"/>
    <n v="3"/>
    <x v="0"/>
    <s v="UPI"/>
    <x v="1"/>
    <x v="1"/>
  </r>
  <r>
    <n v="1059"/>
    <x v="33"/>
    <x v="1"/>
    <x v="1"/>
    <x v="1"/>
    <n v="37"/>
    <x v="1"/>
    <n v="3050"/>
    <n v="1"/>
    <x v="0"/>
    <s v="UPI"/>
    <x v="4"/>
    <x v="0"/>
  </r>
  <r>
    <n v="1088"/>
    <x v="34"/>
    <x v="2"/>
    <x v="3"/>
    <x v="4"/>
    <n v="27"/>
    <x v="0"/>
    <n v="3050"/>
    <n v="2"/>
    <x v="0"/>
    <s v="Card"/>
    <x v="1"/>
    <x v="1"/>
  </r>
  <r>
    <n v="1061"/>
    <x v="35"/>
    <x v="2"/>
    <x v="2"/>
    <x v="3"/>
    <n v="25"/>
    <x v="0"/>
    <n v="2950"/>
    <n v="3"/>
    <x v="0"/>
    <s v="UPI"/>
    <x v="1"/>
    <x v="1"/>
  </r>
  <r>
    <n v="1034"/>
    <x v="36"/>
    <x v="2"/>
    <x v="1"/>
    <x v="2"/>
    <n v="43"/>
    <x v="1"/>
    <n v="2900"/>
    <n v="2"/>
    <x v="0"/>
    <s v="Card"/>
    <x v="4"/>
    <x v="0"/>
  </r>
  <r>
    <n v="1045"/>
    <x v="37"/>
    <x v="0"/>
    <x v="0"/>
    <x v="0"/>
    <n v="29"/>
    <x v="0"/>
    <n v="2900"/>
    <n v="2"/>
    <x v="0"/>
    <s v="Wallet"/>
    <x v="2"/>
    <x v="1"/>
  </r>
  <r>
    <n v="1078"/>
    <x v="38"/>
    <x v="2"/>
    <x v="3"/>
    <x v="4"/>
    <n v="29"/>
    <x v="0"/>
    <n v="2900"/>
    <n v="2"/>
    <x v="0"/>
    <s v="Card"/>
    <x v="1"/>
    <x v="1"/>
  </r>
  <r>
    <n v="1103"/>
    <x v="39"/>
    <x v="3"/>
    <x v="3"/>
    <x v="5"/>
    <n v="27"/>
    <x v="0"/>
    <n v="2900"/>
    <n v="3"/>
    <x v="0"/>
    <s v="UPI"/>
    <x v="1"/>
    <x v="1"/>
  </r>
  <r>
    <n v="1049"/>
    <x v="40"/>
    <x v="1"/>
    <x v="1"/>
    <x v="1"/>
    <n v="32"/>
    <x v="1"/>
    <n v="2850"/>
    <n v="1"/>
    <x v="0"/>
    <s v="UPI"/>
    <x v="6"/>
    <x v="1"/>
  </r>
  <r>
    <n v="1014"/>
    <x v="41"/>
    <x v="2"/>
    <x v="1"/>
    <x v="2"/>
    <n v="42"/>
    <x v="1"/>
    <n v="2800"/>
    <n v="2"/>
    <x v="0"/>
    <s v="Card"/>
    <x v="3"/>
    <x v="0"/>
  </r>
  <r>
    <n v="1041"/>
    <x v="42"/>
    <x v="2"/>
    <x v="2"/>
    <x v="3"/>
    <n v="27"/>
    <x v="0"/>
    <n v="2800"/>
    <n v="3"/>
    <x v="0"/>
    <s v="UPI"/>
    <x v="2"/>
    <x v="1"/>
  </r>
  <r>
    <n v="1025"/>
    <x v="43"/>
    <x v="0"/>
    <x v="0"/>
    <x v="0"/>
    <n v="30"/>
    <x v="0"/>
    <n v="2750"/>
    <n v="2"/>
    <x v="0"/>
    <s v="Wallet"/>
    <x v="2"/>
    <x v="1"/>
  </r>
  <r>
    <n v="1054"/>
    <x v="44"/>
    <x v="2"/>
    <x v="1"/>
    <x v="2"/>
    <n v="41"/>
    <x v="1"/>
    <n v="2750"/>
    <n v="2"/>
    <x v="0"/>
    <s v="Card"/>
    <x v="5"/>
    <x v="0"/>
  </r>
  <r>
    <n v="1019"/>
    <x v="45"/>
    <x v="1"/>
    <x v="1"/>
    <x v="1"/>
    <n v="34"/>
    <x v="1"/>
    <n v="2700"/>
    <n v="1"/>
    <x v="0"/>
    <s v="UPI"/>
    <x v="5"/>
    <x v="1"/>
  </r>
  <r>
    <n v="1068"/>
    <x v="46"/>
    <x v="2"/>
    <x v="3"/>
    <x v="4"/>
    <n v="26"/>
    <x v="0"/>
    <n v="2700"/>
    <n v="2"/>
    <x v="0"/>
    <s v="Card"/>
    <x v="1"/>
    <x v="1"/>
  </r>
  <r>
    <n v="1093"/>
    <x v="47"/>
    <x v="3"/>
    <x v="3"/>
    <x v="5"/>
    <n v="28"/>
    <x v="0"/>
    <n v="2700"/>
    <n v="3"/>
    <x v="0"/>
    <s v="UPI"/>
    <x v="1"/>
    <x v="1"/>
  </r>
  <r>
    <n v="1031"/>
    <x v="48"/>
    <x v="2"/>
    <x v="2"/>
    <x v="3"/>
    <n v="24"/>
    <x v="0"/>
    <n v="2600"/>
    <n v="3"/>
    <x v="0"/>
    <s v="UPI"/>
    <x v="1"/>
    <x v="3"/>
  </r>
  <r>
    <n v="1048"/>
    <x v="49"/>
    <x v="2"/>
    <x v="3"/>
    <x v="4"/>
    <n v="30"/>
    <x v="0"/>
    <n v="2550"/>
    <n v="2"/>
    <x v="0"/>
    <s v="Card"/>
    <x v="1"/>
    <x v="1"/>
  </r>
  <r>
    <n v="1083"/>
    <x v="50"/>
    <x v="3"/>
    <x v="3"/>
    <x v="5"/>
    <n v="25"/>
    <x v="0"/>
    <n v="2550"/>
    <n v="3"/>
    <x v="0"/>
    <s v="UPI"/>
    <x v="2"/>
    <x v="1"/>
  </r>
  <r>
    <n v="1009"/>
    <x v="51"/>
    <x v="1"/>
    <x v="1"/>
    <x v="1"/>
    <n v="33"/>
    <x v="1"/>
    <n v="2500"/>
    <n v="1"/>
    <x v="0"/>
    <s v="UPI"/>
    <x v="6"/>
    <x v="1"/>
  </r>
  <r>
    <n v="1024"/>
    <x v="52"/>
    <x v="2"/>
    <x v="1"/>
    <x v="2"/>
    <n v="38"/>
    <x v="1"/>
    <n v="2450"/>
    <n v="2"/>
    <x v="0"/>
    <s v="Card"/>
    <x v="7"/>
    <x v="0"/>
  </r>
  <r>
    <n v="1073"/>
    <x v="53"/>
    <x v="3"/>
    <x v="3"/>
    <x v="5"/>
    <n v="27"/>
    <x v="0"/>
    <n v="2450"/>
    <n v="3"/>
    <x v="0"/>
    <s v="UPI"/>
    <x v="2"/>
    <x v="1"/>
  </r>
  <r>
    <n v="1011"/>
    <x v="54"/>
    <x v="2"/>
    <x v="2"/>
    <x v="3"/>
    <n v="25"/>
    <x v="0"/>
    <n v="2400"/>
    <n v="3"/>
    <x v="0"/>
    <s v="UPI"/>
    <x v="1"/>
    <x v="1"/>
  </r>
  <r>
    <n v="1038"/>
    <x v="55"/>
    <x v="2"/>
    <x v="3"/>
    <x v="4"/>
    <n v="28"/>
    <x v="0"/>
    <n v="2400"/>
    <n v="2"/>
    <x v="0"/>
    <s v="Card"/>
    <x v="2"/>
    <x v="1"/>
  </r>
  <r>
    <n v="1018"/>
    <x v="56"/>
    <x v="2"/>
    <x v="3"/>
    <x v="4"/>
    <n v="29"/>
    <x v="0"/>
    <n v="2300"/>
    <n v="2"/>
    <x v="0"/>
    <s v="Card"/>
    <x v="4"/>
    <x v="1"/>
  </r>
  <r>
    <n v="1063"/>
    <x v="57"/>
    <x v="3"/>
    <x v="3"/>
    <x v="5"/>
    <n v="29"/>
    <x v="0"/>
    <n v="2300"/>
    <n v="3"/>
    <x v="0"/>
    <s v="UPI"/>
    <x v="2"/>
    <x v="1"/>
  </r>
  <r>
    <n v="1051"/>
    <x v="58"/>
    <x v="2"/>
    <x v="2"/>
    <x v="3"/>
    <n v="23"/>
    <x v="0"/>
    <n v="2250"/>
    <n v="2"/>
    <x v="0"/>
    <s v="UPI"/>
    <x v="4"/>
    <x v="3"/>
  </r>
  <r>
    <n v="1004"/>
    <x v="59"/>
    <x v="2"/>
    <x v="1"/>
    <x v="2"/>
    <n v="35"/>
    <x v="1"/>
    <n v="2200"/>
    <n v="2"/>
    <x v="1"/>
    <s v="Card"/>
    <x v="8"/>
    <x v="0"/>
  </r>
  <r>
    <n v="1058"/>
    <x v="60"/>
    <x v="2"/>
    <x v="3"/>
    <x v="4"/>
    <n v="27"/>
    <x v="0"/>
    <n v="2200"/>
    <n v="2"/>
    <x v="0"/>
    <s v="Card"/>
    <x v="3"/>
    <x v="1"/>
  </r>
  <r>
    <n v="1008"/>
    <x v="61"/>
    <x v="2"/>
    <x v="3"/>
    <x v="4"/>
    <n v="26"/>
    <x v="0"/>
    <n v="2100"/>
    <n v="2"/>
    <x v="0"/>
    <s v="Card"/>
    <x v="3"/>
    <x v="1"/>
  </r>
  <r>
    <n v="1053"/>
    <x v="62"/>
    <x v="3"/>
    <x v="3"/>
    <x v="5"/>
    <n v="26"/>
    <x v="0"/>
    <n v="2100"/>
    <n v="3"/>
    <x v="0"/>
    <s v="UPI"/>
    <x v="2"/>
    <x v="1"/>
  </r>
  <r>
    <n v="1120"/>
    <x v="63"/>
    <x v="3"/>
    <x v="2"/>
    <x v="6"/>
    <n v="36"/>
    <x v="0"/>
    <n v="2000"/>
    <n v="2"/>
    <x v="1"/>
    <s v="Card"/>
    <x v="2"/>
    <x v="0"/>
  </r>
  <r>
    <n v="1028"/>
    <x v="64"/>
    <x v="2"/>
    <x v="3"/>
    <x v="4"/>
    <n v="27"/>
    <x v="0"/>
    <n v="1950"/>
    <n v="2"/>
    <x v="0"/>
    <s v="Card"/>
    <x v="5"/>
    <x v="1"/>
  </r>
  <r>
    <n v="1043"/>
    <x v="65"/>
    <x v="3"/>
    <x v="3"/>
    <x v="5"/>
    <n v="24"/>
    <x v="0"/>
    <n v="1900"/>
    <n v="3"/>
    <x v="0"/>
    <s v="UPI"/>
    <x v="4"/>
    <x v="3"/>
  </r>
  <r>
    <n v="1110"/>
    <x v="66"/>
    <x v="3"/>
    <x v="2"/>
    <x v="6"/>
    <n v="34"/>
    <x v="0"/>
    <n v="1900"/>
    <n v="2"/>
    <x v="1"/>
    <s v="Card"/>
    <x v="4"/>
    <x v="1"/>
  </r>
  <r>
    <n v="1021"/>
    <x v="67"/>
    <x v="2"/>
    <x v="2"/>
    <x v="3"/>
    <n v="26"/>
    <x v="0"/>
    <n v="1850"/>
    <n v="2"/>
    <x v="0"/>
    <s v="UPI"/>
    <x v="3"/>
    <x v="1"/>
  </r>
  <r>
    <n v="1005"/>
    <x v="68"/>
    <x v="0"/>
    <x v="0"/>
    <x v="0"/>
    <n v="29"/>
    <x v="0"/>
    <n v="1800"/>
    <n v="1"/>
    <x v="0"/>
    <s v="Wallet"/>
    <x v="2"/>
    <x v="1"/>
  </r>
  <r>
    <n v="1100"/>
    <x v="69"/>
    <x v="3"/>
    <x v="2"/>
    <x v="6"/>
    <n v="33"/>
    <x v="0"/>
    <n v="1800"/>
    <n v="2"/>
    <x v="1"/>
    <s v="Card"/>
    <x v="3"/>
    <x v="1"/>
  </r>
  <r>
    <n v="1112"/>
    <x v="70"/>
    <x v="1"/>
    <x v="4"/>
    <x v="7"/>
    <n v="35"/>
    <x v="0"/>
    <n v="1800"/>
    <n v="2"/>
    <x v="1"/>
    <s v="Card"/>
    <x v="3"/>
    <x v="0"/>
  </r>
  <r>
    <n v="1033"/>
    <x v="71"/>
    <x v="3"/>
    <x v="3"/>
    <x v="5"/>
    <n v="25"/>
    <x v="0"/>
    <n v="1750"/>
    <n v="3"/>
    <x v="0"/>
    <s v="UPI"/>
    <x v="3"/>
    <x v="1"/>
  </r>
  <r>
    <n v="1090"/>
    <x v="72"/>
    <x v="3"/>
    <x v="2"/>
    <x v="6"/>
    <n v="37"/>
    <x v="0"/>
    <n v="1750"/>
    <n v="2"/>
    <x v="1"/>
    <s v="Card"/>
    <x v="3"/>
    <x v="0"/>
  </r>
  <r>
    <n v="1102"/>
    <x v="73"/>
    <x v="1"/>
    <x v="4"/>
    <x v="7"/>
    <n v="32"/>
    <x v="0"/>
    <n v="1700"/>
    <n v="2"/>
    <x v="1"/>
    <s v="Card"/>
    <x v="5"/>
    <x v="1"/>
  </r>
  <r>
    <n v="1023"/>
    <x v="74"/>
    <x v="3"/>
    <x v="3"/>
    <x v="5"/>
    <n v="28"/>
    <x v="0"/>
    <n v="1650"/>
    <n v="3"/>
    <x v="0"/>
    <s v="UPI"/>
    <x v="4"/>
    <x v="1"/>
  </r>
  <r>
    <n v="1080"/>
    <x v="75"/>
    <x v="3"/>
    <x v="2"/>
    <x v="6"/>
    <n v="35"/>
    <x v="0"/>
    <n v="1650"/>
    <n v="2"/>
    <x v="1"/>
    <s v="Card"/>
    <x v="5"/>
    <x v="0"/>
  </r>
  <r>
    <n v="1092"/>
    <x v="76"/>
    <x v="1"/>
    <x v="4"/>
    <x v="7"/>
    <n v="34"/>
    <x v="0"/>
    <n v="1600"/>
    <n v="2"/>
    <x v="1"/>
    <s v="Card"/>
    <x v="6"/>
    <x v="1"/>
  </r>
  <r>
    <n v="1070"/>
    <x v="77"/>
    <x v="3"/>
    <x v="2"/>
    <x v="6"/>
    <n v="38"/>
    <x v="0"/>
    <n v="1550"/>
    <n v="2"/>
    <x v="1"/>
    <s v="Card"/>
    <x v="5"/>
    <x v="0"/>
  </r>
  <r>
    <n v="1117"/>
    <x v="78"/>
    <x v="4"/>
    <x v="4"/>
    <x v="8"/>
    <n v="44"/>
    <x v="1"/>
    <n v="1550"/>
    <n v="2"/>
    <x v="0"/>
    <s v="UPI"/>
    <x v="5"/>
    <x v="0"/>
  </r>
  <r>
    <n v="1003"/>
    <x v="79"/>
    <x v="3"/>
    <x v="3"/>
    <x v="5"/>
    <n v="27"/>
    <x v="0"/>
    <n v="1500"/>
    <n v="3"/>
    <x v="0"/>
    <s v="UPI"/>
    <x v="4"/>
    <x v="1"/>
  </r>
  <r>
    <n v="1082"/>
    <x v="80"/>
    <x v="1"/>
    <x v="4"/>
    <x v="7"/>
    <n v="30"/>
    <x v="0"/>
    <n v="1500"/>
    <n v="2"/>
    <x v="1"/>
    <s v="Card"/>
    <x v="7"/>
    <x v="1"/>
  </r>
  <r>
    <n v="1107"/>
    <x v="81"/>
    <x v="4"/>
    <x v="4"/>
    <x v="8"/>
    <n v="43"/>
    <x v="1"/>
    <n v="1500"/>
    <n v="2"/>
    <x v="0"/>
    <s v="UPI"/>
    <x v="6"/>
    <x v="0"/>
  </r>
  <r>
    <n v="1040"/>
    <x v="82"/>
    <x v="3"/>
    <x v="2"/>
    <x v="6"/>
    <n v="40"/>
    <x v="0"/>
    <n v="1450"/>
    <n v="2"/>
    <x v="1"/>
    <s v="Card"/>
    <x v="7"/>
    <x v="0"/>
  </r>
  <r>
    <n v="1072"/>
    <x v="83"/>
    <x v="1"/>
    <x v="4"/>
    <x v="7"/>
    <n v="31"/>
    <x v="0"/>
    <n v="1450"/>
    <n v="2"/>
    <x v="1"/>
    <s v="Card"/>
    <x v="6"/>
    <x v="1"/>
  </r>
  <r>
    <n v="1097"/>
    <x v="84"/>
    <x v="4"/>
    <x v="4"/>
    <x v="8"/>
    <n v="40"/>
    <x v="1"/>
    <n v="1450"/>
    <n v="2"/>
    <x v="0"/>
    <s v="UPI"/>
    <x v="7"/>
    <x v="0"/>
  </r>
  <r>
    <n v="1060"/>
    <x v="85"/>
    <x v="3"/>
    <x v="2"/>
    <x v="6"/>
    <n v="31"/>
    <x v="0"/>
    <n v="1400"/>
    <n v="2"/>
    <x v="1"/>
    <s v="Card"/>
    <x v="6"/>
    <x v="1"/>
  </r>
  <r>
    <n v="1087"/>
    <x v="86"/>
    <x v="4"/>
    <x v="4"/>
    <x v="8"/>
    <n v="38"/>
    <x v="1"/>
    <n v="1400"/>
    <n v="2"/>
    <x v="0"/>
    <s v="UPI"/>
    <x v="6"/>
    <x v="0"/>
  </r>
  <r>
    <n v="1030"/>
    <x v="87"/>
    <x v="3"/>
    <x v="2"/>
    <x v="6"/>
    <n v="34"/>
    <x v="0"/>
    <n v="1350"/>
    <n v="2"/>
    <x v="1"/>
    <s v="Card"/>
    <x v="6"/>
    <x v="1"/>
  </r>
  <r>
    <n v="1062"/>
    <x v="88"/>
    <x v="1"/>
    <x v="4"/>
    <x v="7"/>
    <n v="28"/>
    <x v="0"/>
    <n v="1350"/>
    <n v="2"/>
    <x v="1"/>
    <s v="Card"/>
    <x v="7"/>
    <x v="1"/>
  </r>
  <r>
    <n v="1077"/>
    <x v="89"/>
    <x v="4"/>
    <x v="4"/>
    <x v="8"/>
    <n v="36"/>
    <x v="1"/>
    <n v="1320"/>
    <n v="2"/>
    <x v="0"/>
    <s v="UPI"/>
    <x v="7"/>
    <x v="0"/>
  </r>
  <r>
    <n v="1012"/>
    <x v="90"/>
    <x v="1"/>
    <x v="4"/>
    <x v="7"/>
    <n v="30"/>
    <x v="0"/>
    <n v="1300"/>
    <n v="2"/>
    <x v="1"/>
    <s v="Card"/>
    <x v="9"/>
    <x v="1"/>
  </r>
  <r>
    <n v="1050"/>
    <x v="91"/>
    <x v="3"/>
    <x v="2"/>
    <x v="6"/>
    <n v="36"/>
    <x v="0"/>
    <n v="1300"/>
    <n v="2"/>
    <x v="1"/>
    <s v="Card"/>
    <x v="8"/>
    <x v="0"/>
  </r>
  <r>
    <n v="1067"/>
    <x v="92"/>
    <x v="4"/>
    <x v="4"/>
    <x v="8"/>
    <n v="42"/>
    <x v="1"/>
    <n v="1280"/>
    <n v="2"/>
    <x v="0"/>
    <s v="UPI"/>
    <x v="9"/>
    <x v="0"/>
  </r>
  <r>
    <n v="1020"/>
    <x v="93"/>
    <x v="3"/>
    <x v="2"/>
    <x v="6"/>
    <n v="39"/>
    <x v="0"/>
    <n v="1250"/>
    <n v="2"/>
    <x v="1"/>
    <s v="Card"/>
    <x v="8"/>
    <x v="0"/>
  </r>
  <r>
    <n v="1032"/>
    <x v="94"/>
    <x v="1"/>
    <x v="4"/>
    <x v="7"/>
    <n v="29"/>
    <x v="0"/>
    <n v="1250"/>
    <n v="2"/>
    <x v="1"/>
    <s v="Card"/>
    <x v="10"/>
    <x v="1"/>
  </r>
  <r>
    <n v="1047"/>
    <x v="95"/>
    <x v="4"/>
    <x v="4"/>
    <x v="8"/>
    <n v="44"/>
    <x v="1"/>
    <n v="1250"/>
    <n v="2"/>
    <x v="1"/>
    <s v="UPI"/>
    <x v="10"/>
    <x v="0"/>
  </r>
  <r>
    <n v="1001"/>
    <x v="96"/>
    <x v="2"/>
    <x v="2"/>
    <x v="3"/>
    <n v="24"/>
    <x v="0"/>
    <n v="1200"/>
    <n v="2"/>
    <x v="0"/>
    <s v="UPI"/>
    <x v="5"/>
    <x v="3"/>
  </r>
  <r>
    <n v="1057"/>
    <x v="97"/>
    <x v="4"/>
    <x v="4"/>
    <x v="8"/>
    <n v="39"/>
    <x v="1"/>
    <n v="1180"/>
    <n v="2"/>
    <x v="0"/>
    <s v="UPI"/>
    <x v="8"/>
    <x v="0"/>
  </r>
  <r>
    <n v="1027"/>
    <x v="98"/>
    <x v="4"/>
    <x v="4"/>
    <x v="8"/>
    <n v="41"/>
    <x v="1"/>
    <n v="1150"/>
    <n v="2"/>
    <x v="1"/>
    <s v="UPI"/>
    <x v="8"/>
    <x v="0"/>
  </r>
  <r>
    <n v="1010"/>
    <x v="99"/>
    <x v="3"/>
    <x v="2"/>
    <x v="6"/>
    <n v="37"/>
    <x v="0"/>
    <n v="1100"/>
    <n v="2"/>
    <x v="1"/>
    <s v="Card"/>
    <x v="7"/>
    <x v="0"/>
  </r>
  <r>
    <n v="1042"/>
    <x v="100"/>
    <x v="1"/>
    <x v="4"/>
    <x v="7"/>
    <n v="33"/>
    <x v="0"/>
    <n v="1100"/>
    <n v="2"/>
    <x v="1"/>
    <s v="Card"/>
    <x v="8"/>
    <x v="1"/>
  </r>
  <r>
    <n v="1017"/>
    <x v="101"/>
    <x v="4"/>
    <x v="4"/>
    <x v="8"/>
    <n v="36"/>
    <x v="1"/>
    <n v="1050"/>
    <n v="2"/>
    <x v="0"/>
    <s v="UPI"/>
    <x v="10"/>
    <x v="0"/>
  </r>
  <r>
    <n v="1052"/>
    <x v="102"/>
    <x v="1"/>
    <x v="4"/>
    <x v="7"/>
    <n v="35"/>
    <x v="0"/>
    <n v="1050"/>
    <n v="2"/>
    <x v="1"/>
    <s v="Card"/>
    <x v="9"/>
    <x v="0"/>
  </r>
  <r>
    <n v="1037"/>
    <x v="103"/>
    <x v="4"/>
    <x v="4"/>
    <x v="8"/>
    <n v="37"/>
    <x v="1"/>
    <n v="980"/>
    <n v="2"/>
    <x v="0"/>
    <s v="UPI"/>
    <x v="9"/>
    <x v="0"/>
  </r>
  <r>
    <n v="1022"/>
    <x v="104"/>
    <x v="1"/>
    <x v="4"/>
    <x v="7"/>
    <n v="32"/>
    <x v="0"/>
    <n v="950"/>
    <n v="2"/>
    <x v="1"/>
    <s v="Card"/>
    <x v="9"/>
    <x v="1"/>
  </r>
  <r>
    <n v="1116"/>
    <x v="105"/>
    <x v="5"/>
    <x v="2"/>
    <x v="9"/>
    <n v="26"/>
    <x v="0"/>
    <n v="950"/>
    <n v="2"/>
    <x v="1"/>
    <s v="Cash"/>
    <x v="7"/>
    <x v="1"/>
  </r>
  <r>
    <n v="1007"/>
    <x v="106"/>
    <x v="4"/>
    <x v="4"/>
    <x v="8"/>
    <n v="40"/>
    <x v="1"/>
    <n v="900"/>
    <n v="2"/>
    <x v="1"/>
    <s v="Cash"/>
    <x v="11"/>
    <x v="0"/>
  </r>
  <r>
    <n v="1013"/>
    <x v="107"/>
    <x v="3"/>
    <x v="3"/>
    <x v="5"/>
    <n v="23"/>
    <x v="0"/>
    <n v="900"/>
    <n v="2"/>
    <x v="0"/>
    <s v="UPI"/>
    <x v="5"/>
    <x v="3"/>
  </r>
  <r>
    <n v="1106"/>
    <x v="108"/>
    <x v="5"/>
    <x v="2"/>
    <x v="9"/>
    <n v="25"/>
    <x v="0"/>
    <n v="900"/>
    <n v="2"/>
    <x v="1"/>
    <s v="Cash"/>
    <x v="8"/>
    <x v="1"/>
  </r>
  <r>
    <n v="1002"/>
    <x v="109"/>
    <x v="1"/>
    <x v="4"/>
    <x v="7"/>
    <n v="31"/>
    <x v="0"/>
    <n v="850"/>
    <n v="1"/>
    <x v="1"/>
    <s v="Card"/>
    <x v="10"/>
    <x v="1"/>
  </r>
  <r>
    <n v="1096"/>
    <x v="110"/>
    <x v="5"/>
    <x v="2"/>
    <x v="9"/>
    <n v="24"/>
    <x v="0"/>
    <n v="850"/>
    <n v="2"/>
    <x v="1"/>
    <s v="Cash"/>
    <x v="9"/>
    <x v="3"/>
  </r>
  <r>
    <n v="1086"/>
    <x v="111"/>
    <x v="5"/>
    <x v="2"/>
    <x v="9"/>
    <n v="22"/>
    <x v="0"/>
    <n v="820"/>
    <n v="2"/>
    <x v="1"/>
    <s v="Cash"/>
    <x v="10"/>
    <x v="3"/>
  </r>
  <r>
    <n v="1076"/>
    <x v="112"/>
    <x v="5"/>
    <x v="2"/>
    <x v="9"/>
    <n v="23"/>
    <x v="0"/>
    <n v="800"/>
    <n v="2"/>
    <x v="1"/>
    <s v="Cash"/>
    <x v="9"/>
    <x v="3"/>
  </r>
  <r>
    <n v="1026"/>
    <x v="113"/>
    <x v="5"/>
    <x v="2"/>
    <x v="9"/>
    <n v="23"/>
    <x v="0"/>
    <n v="780"/>
    <n v="2"/>
    <x v="1"/>
    <s v="Cash"/>
    <x v="10"/>
    <x v="3"/>
  </r>
  <r>
    <n v="1066"/>
    <x v="114"/>
    <x v="5"/>
    <x v="2"/>
    <x v="9"/>
    <n v="24"/>
    <x v="0"/>
    <n v="750"/>
    <n v="2"/>
    <x v="1"/>
    <s v="Cash"/>
    <x v="10"/>
    <x v="3"/>
  </r>
  <r>
    <n v="1036"/>
    <x v="115"/>
    <x v="5"/>
    <x v="2"/>
    <x v="9"/>
    <n v="22"/>
    <x v="0"/>
    <n v="720"/>
    <n v="2"/>
    <x v="1"/>
    <s v="Cash"/>
    <x v="11"/>
    <x v="3"/>
  </r>
  <r>
    <n v="1016"/>
    <x v="116"/>
    <x v="5"/>
    <x v="2"/>
    <x v="9"/>
    <n v="21"/>
    <x v="0"/>
    <n v="700"/>
    <n v="2"/>
    <x v="1"/>
    <s v="Cash"/>
    <x v="12"/>
    <x v="3"/>
  </r>
  <r>
    <n v="1006"/>
    <x v="117"/>
    <x v="5"/>
    <x v="2"/>
    <x v="9"/>
    <n v="22"/>
    <x v="0"/>
    <n v="650"/>
    <n v="2"/>
    <x v="0"/>
    <s v="UPI"/>
    <x v="9"/>
    <x v="3"/>
  </r>
  <r>
    <n v="1056"/>
    <x v="118"/>
    <x v="5"/>
    <x v="2"/>
    <x v="9"/>
    <n v="20"/>
    <x v="0"/>
    <n v="650"/>
    <n v="2"/>
    <x v="1"/>
    <s v="Cash"/>
    <x v="12"/>
    <x v="3"/>
  </r>
  <r>
    <n v="1046"/>
    <x v="119"/>
    <x v="5"/>
    <x v="2"/>
    <x v="9"/>
    <n v="21"/>
    <x v="0"/>
    <n v="600"/>
    <n v="1"/>
    <x v="1"/>
    <s v="Cash"/>
    <x v="1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1B1F4B-9701-4D13-BEDE-08D83D57BC77}"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B24" firstHeaderRow="1" firstDataRow="1" firstDataCol="1"/>
  <pivotFields count="15">
    <pivotField showAll="0"/>
    <pivotField numFmtId="14" showAll="0">
      <items count="121">
        <item x="96"/>
        <item x="109"/>
        <item x="79"/>
        <item x="59"/>
        <item x="68"/>
        <item x="117"/>
        <item x="106"/>
        <item x="61"/>
        <item x="51"/>
        <item x="99"/>
        <item x="54"/>
        <item x="90"/>
        <item x="107"/>
        <item x="41"/>
        <item x="27"/>
        <item x="116"/>
        <item x="101"/>
        <item x="56"/>
        <item x="45"/>
        <item x="93"/>
        <item x="67"/>
        <item x="104"/>
        <item x="74"/>
        <item x="52"/>
        <item x="43"/>
        <item x="113"/>
        <item x="98"/>
        <item x="64"/>
        <item x="30"/>
        <item x="87"/>
        <item x="48"/>
        <item x="94"/>
        <item x="71"/>
        <item x="36"/>
        <item x="19"/>
        <item x="115"/>
        <item x="103"/>
        <item x="55"/>
        <item x="24"/>
        <item x="82"/>
        <item x="42"/>
        <item x="100"/>
        <item x="65"/>
        <item x="29"/>
        <item x="37"/>
        <item x="119"/>
        <item x="95"/>
        <item x="49"/>
        <item x="40"/>
        <item x="91"/>
        <item x="58"/>
        <item x="102"/>
        <item x="62"/>
        <item x="44"/>
        <item x="12"/>
        <item x="118"/>
        <item x="97"/>
        <item x="60"/>
        <item x="33"/>
        <item x="85"/>
        <item x="35"/>
        <item x="88"/>
        <item x="57"/>
        <item x="22"/>
        <item x="7"/>
        <item x="114"/>
        <item x="92"/>
        <item x="46"/>
        <item x="17"/>
        <item x="77"/>
        <item x="31"/>
        <item x="83"/>
        <item x="53"/>
        <item x="26"/>
        <item x="4"/>
        <item x="112"/>
        <item x="89"/>
        <item x="38"/>
        <item x="14"/>
        <item x="75"/>
        <item x="25"/>
        <item x="80"/>
        <item x="50"/>
        <item x="20"/>
        <item x="3"/>
        <item x="111"/>
        <item x="86"/>
        <item x="34"/>
        <item x="11"/>
        <item x="72"/>
        <item x="21"/>
        <item x="76"/>
        <item x="47"/>
        <item x="15"/>
        <item x="2"/>
        <item x="110"/>
        <item x="84"/>
        <item x="28"/>
        <item x="9"/>
        <item x="69"/>
        <item x="18"/>
        <item x="73"/>
        <item x="39"/>
        <item x="10"/>
        <item x="1"/>
        <item x="108"/>
        <item x="81"/>
        <item x="23"/>
        <item x="6"/>
        <item x="66"/>
        <item x="13"/>
        <item x="70"/>
        <item x="32"/>
        <item x="8"/>
        <item x="0"/>
        <item x="105"/>
        <item x="78"/>
        <item x="16"/>
        <item x="5"/>
        <item x="63"/>
        <item t="default"/>
      </items>
    </pivotField>
    <pivotField showAll="0">
      <items count="7">
        <item x="2"/>
        <item h="1" x="5"/>
        <item h="1" x="3"/>
        <item h="1" x="4"/>
        <item h="1" x="1"/>
        <item h="1" x="0"/>
        <item t="default"/>
      </items>
    </pivotField>
    <pivotField showAll="0"/>
    <pivotField axis="axisRow" showAll="0" measureFilter="1" sortType="ascending">
      <items count="11">
        <item x="3"/>
        <item x="9"/>
        <item x="4"/>
        <item x="8"/>
        <item x="5"/>
        <item x="6"/>
        <item x="0"/>
        <item x="1"/>
        <item x="7"/>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4">
    <i>
      <x v="2"/>
    </i>
    <i>
      <x/>
    </i>
    <i>
      <x v="9"/>
    </i>
    <i t="grand">
      <x/>
    </i>
  </rowItems>
  <colItems count="1">
    <i/>
  </colItems>
  <dataFields count="1">
    <dataField name="Sum of Sales" fld="7" baseField="0" baseItem="0" numFmtId="164"/>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873F3E-0E68-42C9-9598-3821CD3FDA2F}"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5">
    <pivotField showAll="0"/>
    <pivotField numFmtId="14" showAll="0">
      <items count="121">
        <item x="96"/>
        <item x="109"/>
        <item x="79"/>
        <item x="59"/>
        <item x="68"/>
        <item x="117"/>
        <item x="106"/>
        <item x="61"/>
        <item x="51"/>
        <item x="99"/>
        <item x="54"/>
        <item x="90"/>
        <item x="107"/>
        <item x="41"/>
        <item x="27"/>
        <item x="116"/>
        <item x="101"/>
        <item x="56"/>
        <item x="45"/>
        <item x="93"/>
        <item x="67"/>
        <item x="104"/>
        <item x="74"/>
        <item x="52"/>
        <item x="43"/>
        <item x="113"/>
        <item x="98"/>
        <item x="64"/>
        <item x="30"/>
        <item x="87"/>
        <item x="48"/>
        <item x="94"/>
        <item x="71"/>
        <item x="36"/>
        <item x="19"/>
        <item x="115"/>
        <item x="103"/>
        <item x="55"/>
        <item x="24"/>
        <item x="82"/>
        <item x="42"/>
        <item x="100"/>
        <item x="65"/>
        <item x="29"/>
        <item x="37"/>
        <item x="119"/>
        <item x="95"/>
        <item x="49"/>
        <item x="40"/>
        <item x="91"/>
        <item x="58"/>
        <item x="102"/>
        <item x="62"/>
        <item x="44"/>
        <item x="12"/>
        <item x="118"/>
        <item x="97"/>
        <item x="60"/>
        <item x="33"/>
        <item x="85"/>
        <item x="35"/>
        <item x="88"/>
        <item x="57"/>
        <item x="22"/>
        <item x="7"/>
        <item x="114"/>
        <item x="92"/>
        <item x="46"/>
        <item x="17"/>
        <item x="77"/>
        <item x="31"/>
        <item x="83"/>
        <item x="53"/>
        <item x="26"/>
        <item x="4"/>
        <item x="112"/>
        <item x="89"/>
        <item x="38"/>
        <item x="14"/>
        <item x="75"/>
        <item x="25"/>
        <item x="80"/>
        <item x="50"/>
        <item x="20"/>
        <item x="3"/>
        <item x="111"/>
        <item x="86"/>
        <item x="34"/>
        <item x="11"/>
        <item x="72"/>
        <item x="21"/>
        <item x="76"/>
        <item x="47"/>
        <item x="15"/>
        <item x="2"/>
        <item x="110"/>
        <item x="84"/>
        <item x="28"/>
        <item x="9"/>
        <item x="69"/>
        <item x="18"/>
        <item x="73"/>
        <item x="39"/>
        <item x="10"/>
        <item x="1"/>
        <item x="108"/>
        <item x="81"/>
        <item x="23"/>
        <item x="6"/>
        <item x="66"/>
        <item x="13"/>
        <item x="70"/>
        <item x="32"/>
        <item x="8"/>
        <item x="0"/>
        <item x="105"/>
        <item x="78"/>
        <item x="16"/>
        <item x="5"/>
        <item x="63"/>
        <item t="default"/>
      </items>
    </pivotField>
    <pivotField showAll="0">
      <items count="7">
        <item x="2"/>
        <item h="1" x="5"/>
        <item h="1" x="3"/>
        <item h="1" x="4"/>
        <item h="1" x="1"/>
        <item h="1" x="0"/>
        <item t="default"/>
      </items>
    </pivotField>
    <pivotField showAll="0">
      <items count="6">
        <item x="0"/>
        <item x="4"/>
        <item x="3"/>
        <item x="2"/>
        <item x="1"/>
        <item t="default"/>
      </items>
    </pivotField>
    <pivotField axis="axisRow" showAll="0" measureFilter="1" sortType="descending">
      <items count="11">
        <item x="3"/>
        <item x="9"/>
        <item x="4"/>
        <item x="8"/>
        <item x="5"/>
        <item x="6"/>
        <item x="0"/>
        <item x="1"/>
        <item x="7"/>
        <item x="2"/>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dataField="1" numFmtId="164" showAll="0"/>
    <pivotField showAll="0"/>
    <pivotField showAll="0">
      <items count="3">
        <item x="0"/>
        <item x="1"/>
        <item t="default"/>
      </items>
    </pivotField>
    <pivotField showAll="0"/>
    <pivotField showAll="0"/>
    <pivotField showAll="0">
      <items count="5">
        <item x="3"/>
        <item x="1"/>
        <item x="0"/>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4">
    <i>
      <x v="9"/>
    </i>
    <i>
      <x/>
    </i>
    <i>
      <x v="2"/>
    </i>
    <i t="grand">
      <x/>
    </i>
  </rowItems>
  <colItems count="1">
    <i/>
  </colItems>
  <dataFields count="1">
    <dataField name="Sum of Sales" fld="7" baseField="0" baseItem="0" numFmtId="164"/>
  </dataFields>
  <conditionalFormats count="1">
    <conditionalFormat priority="1">
      <pivotAreas count="1">
        <pivotArea type="data" grandRow="1" outline="0" collapsedLevelsAreSubtotals="1" fieldPosition="0">
          <references count="1">
            <reference field="4294967294" count="1" selected="0">
              <x v="0"/>
            </reference>
          </references>
        </pivotArea>
      </pivotAreas>
    </conditionalFormat>
  </conditional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19441D-A845-49C9-A3C2-B00A0850292D}"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7:B70" firstHeaderRow="1" firstDataRow="1" firstDataCol="1"/>
  <pivotFields count="15">
    <pivotField showAll="0"/>
    <pivotField axis="axisRow" numFmtId="14" showAll="0">
      <items count="121">
        <item x="96"/>
        <item x="109"/>
        <item x="79"/>
        <item x="59"/>
        <item x="68"/>
        <item x="117"/>
        <item x="106"/>
        <item x="61"/>
        <item x="51"/>
        <item x="99"/>
        <item x="54"/>
        <item x="90"/>
        <item x="107"/>
        <item x="41"/>
        <item x="27"/>
        <item x="116"/>
        <item x="101"/>
        <item x="56"/>
        <item x="45"/>
        <item x="93"/>
        <item x="67"/>
        <item x="104"/>
        <item x="74"/>
        <item x="52"/>
        <item x="43"/>
        <item x="113"/>
        <item x="98"/>
        <item x="64"/>
        <item x="30"/>
        <item x="87"/>
        <item x="48"/>
        <item x="94"/>
        <item x="71"/>
        <item x="36"/>
        <item x="19"/>
        <item x="115"/>
        <item x="103"/>
        <item x="55"/>
        <item x="24"/>
        <item x="82"/>
        <item x="42"/>
        <item x="100"/>
        <item x="65"/>
        <item x="29"/>
        <item x="37"/>
        <item x="119"/>
        <item x="95"/>
        <item x="49"/>
        <item x="40"/>
        <item x="91"/>
        <item x="58"/>
        <item x="102"/>
        <item x="62"/>
        <item x="44"/>
        <item x="12"/>
        <item x="118"/>
        <item x="97"/>
        <item x="60"/>
        <item x="33"/>
        <item x="85"/>
        <item x="35"/>
        <item x="88"/>
        <item x="57"/>
        <item x="22"/>
        <item x="7"/>
        <item x="114"/>
        <item x="92"/>
        <item x="46"/>
        <item x="17"/>
        <item x="77"/>
        <item x="31"/>
        <item x="83"/>
        <item x="53"/>
        <item x="26"/>
        <item x="4"/>
        <item x="112"/>
        <item x="89"/>
        <item x="38"/>
        <item x="14"/>
        <item x="75"/>
        <item x="25"/>
        <item x="80"/>
        <item x="50"/>
        <item x="20"/>
        <item x="3"/>
        <item x="111"/>
        <item x="86"/>
        <item x="34"/>
        <item x="11"/>
        <item x="72"/>
        <item x="21"/>
        <item x="76"/>
        <item x="47"/>
        <item x="15"/>
        <item x="2"/>
        <item x="110"/>
        <item x="84"/>
        <item x="28"/>
        <item x="9"/>
        <item x="69"/>
        <item x="18"/>
        <item x="73"/>
        <item x="39"/>
        <item x="10"/>
        <item x="1"/>
        <item x="108"/>
        <item x="81"/>
        <item x="23"/>
        <item x="6"/>
        <item x="66"/>
        <item x="13"/>
        <item x="70"/>
        <item x="32"/>
        <item x="8"/>
        <item x="0"/>
        <item x="105"/>
        <item x="78"/>
        <item x="16"/>
        <item x="5"/>
        <item x="63"/>
        <item t="default"/>
      </items>
    </pivotField>
    <pivotField showAll="0">
      <items count="7">
        <item x="2"/>
        <item h="1" x="5"/>
        <item h="1" x="3"/>
        <item h="1" x="4"/>
        <item h="1" x="1"/>
        <item h="1" x="0"/>
        <item t="default"/>
      </items>
    </pivotField>
    <pivotField showAll="0"/>
    <pivotField showAll="0"/>
    <pivotField showAll="0"/>
    <pivotField showAll="0"/>
    <pivotField dataField="1" numFmtId="164"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4"/>
    <field x="13"/>
    <field x="1"/>
  </rowFields>
  <rowItems count="13">
    <i>
      <x v="1"/>
    </i>
    <i>
      <x v="2"/>
    </i>
    <i>
      <x v="3"/>
    </i>
    <i>
      <x v="4"/>
    </i>
    <i>
      <x v="5"/>
    </i>
    <i>
      <x v="6"/>
    </i>
    <i>
      <x v="7"/>
    </i>
    <i>
      <x v="8"/>
    </i>
    <i>
      <x v="9"/>
    </i>
    <i>
      <x v="10"/>
    </i>
    <i>
      <x v="11"/>
    </i>
    <i>
      <x v="12"/>
    </i>
    <i t="grand">
      <x/>
    </i>
  </rowItems>
  <colItems count="1">
    <i/>
  </colItems>
  <dataFields count="1">
    <dataField name="Sum of Sales" fld="7" baseField="0" baseItem="0" numFmtId="164"/>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112A3F-6FC6-46FD-B6EE-ED27C616B9ED}"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8:C40" firstHeaderRow="0" firstDataRow="1" firstDataCol="1"/>
  <pivotFields count="15">
    <pivotField dataField="1" showAll="0"/>
    <pivotField numFmtId="14" showAll="0">
      <items count="121">
        <item x="96"/>
        <item x="109"/>
        <item x="79"/>
        <item x="59"/>
        <item x="68"/>
        <item x="117"/>
        <item x="106"/>
        <item x="61"/>
        <item x="51"/>
        <item x="99"/>
        <item x="54"/>
        <item x="90"/>
        <item x="107"/>
        <item x="41"/>
        <item x="27"/>
        <item x="116"/>
        <item x="101"/>
        <item x="56"/>
        <item x="45"/>
        <item x="93"/>
        <item x="67"/>
        <item x="104"/>
        <item x="74"/>
        <item x="52"/>
        <item x="43"/>
        <item x="113"/>
        <item x="98"/>
        <item x="64"/>
        <item x="30"/>
        <item x="87"/>
        <item x="48"/>
        <item x="94"/>
        <item x="71"/>
        <item x="36"/>
        <item x="19"/>
        <item x="115"/>
        <item x="103"/>
        <item x="55"/>
        <item x="24"/>
        <item x="82"/>
        <item x="42"/>
        <item x="100"/>
        <item x="65"/>
        <item x="29"/>
        <item x="37"/>
        <item x="119"/>
        <item x="95"/>
        <item x="49"/>
        <item x="40"/>
        <item x="91"/>
        <item x="58"/>
        <item x="102"/>
        <item x="62"/>
        <item x="44"/>
        <item x="12"/>
        <item x="118"/>
        <item x="97"/>
        <item x="60"/>
        <item x="33"/>
        <item x="85"/>
        <item x="35"/>
        <item x="88"/>
        <item x="57"/>
        <item x="22"/>
        <item x="7"/>
        <item x="114"/>
        <item x="92"/>
        <item x="46"/>
        <item x="17"/>
        <item x="77"/>
        <item x="31"/>
        <item x="83"/>
        <item x="53"/>
        <item x="26"/>
        <item x="4"/>
        <item x="112"/>
        <item x="89"/>
        <item x="38"/>
        <item x="14"/>
        <item x="75"/>
        <item x="25"/>
        <item x="80"/>
        <item x="50"/>
        <item x="20"/>
        <item x="3"/>
        <item x="111"/>
        <item x="86"/>
        <item x="34"/>
        <item x="11"/>
        <item x="72"/>
        <item x="21"/>
        <item x="76"/>
        <item x="47"/>
        <item x="15"/>
        <item x="2"/>
        <item x="110"/>
        <item x="84"/>
        <item x="28"/>
        <item x="9"/>
        <item x="69"/>
        <item x="18"/>
        <item x="73"/>
        <item x="39"/>
        <item x="10"/>
        <item x="1"/>
        <item x="108"/>
        <item x="81"/>
        <item x="23"/>
        <item x="6"/>
        <item x="66"/>
        <item x="13"/>
        <item x="70"/>
        <item x="32"/>
        <item x="8"/>
        <item x="0"/>
        <item x="105"/>
        <item x="78"/>
        <item x="16"/>
        <item x="5"/>
        <item x="63"/>
        <item t="default"/>
      </items>
    </pivotField>
    <pivotField axis="axisRow" showAll="0">
      <items count="7">
        <item x="2"/>
        <item h="1" x="5"/>
        <item h="1" x="3"/>
        <item h="1" x="4"/>
        <item h="1" x="1"/>
        <item h="1" x="0"/>
        <item t="default"/>
      </items>
    </pivotField>
    <pivotField showAll="0"/>
    <pivotField showAll="0"/>
    <pivotField showAll="0"/>
    <pivotField showAll="0"/>
    <pivotField dataField="1" numFmtId="164"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
    <i>
      <x/>
    </i>
    <i t="grand">
      <x/>
    </i>
  </rowItems>
  <colFields count="1">
    <field x="-2"/>
  </colFields>
  <colItems count="2">
    <i>
      <x/>
    </i>
    <i i="1">
      <x v="1"/>
    </i>
  </colItems>
  <dataFields count="2">
    <dataField name="Sum of Sales" fld="7" baseField="0" baseItem="0" numFmtId="164"/>
    <dataField name="Count of Order IDA1:J21" fld="0" subtotal="count" baseField="2" baseItem="0"/>
  </dataField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40C18E-C6A8-4EC1-8980-0CCABF455E40}"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1:D24" firstHeaderRow="0" firstDataRow="1" firstDataCol="1"/>
  <pivotFields count="15">
    <pivotField dataField="1" showAll="0"/>
    <pivotField numFmtId="14" showAll="0">
      <items count="121">
        <item x="96"/>
        <item x="109"/>
        <item x="79"/>
        <item x="59"/>
        <item x="68"/>
        <item x="117"/>
        <item x="106"/>
        <item x="61"/>
        <item x="51"/>
        <item x="99"/>
        <item x="54"/>
        <item x="90"/>
        <item x="107"/>
        <item x="41"/>
        <item x="27"/>
        <item x="116"/>
        <item x="101"/>
        <item x="56"/>
        <item x="45"/>
        <item x="93"/>
        <item x="67"/>
        <item x="104"/>
        <item x="74"/>
        <item x="52"/>
        <item x="43"/>
        <item x="113"/>
        <item x="98"/>
        <item x="64"/>
        <item x="30"/>
        <item x="87"/>
        <item x="48"/>
        <item x="94"/>
        <item x="71"/>
        <item x="36"/>
        <item x="19"/>
        <item x="115"/>
        <item x="103"/>
        <item x="55"/>
        <item x="24"/>
        <item x="82"/>
        <item x="42"/>
        <item x="100"/>
        <item x="65"/>
        <item x="29"/>
        <item x="37"/>
        <item x="119"/>
        <item x="95"/>
        <item x="49"/>
        <item x="40"/>
        <item x="91"/>
        <item x="58"/>
        <item x="102"/>
        <item x="62"/>
        <item x="44"/>
        <item x="12"/>
        <item x="118"/>
        <item x="97"/>
        <item x="60"/>
        <item x="33"/>
        <item x="85"/>
        <item x="35"/>
        <item x="88"/>
        <item x="57"/>
        <item x="22"/>
        <item x="7"/>
        <item x="114"/>
        <item x="92"/>
        <item x="46"/>
        <item x="17"/>
        <item x="77"/>
        <item x="31"/>
        <item x="83"/>
        <item x="53"/>
        <item x="26"/>
        <item x="4"/>
        <item x="112"/>
        <item x="89"/>
        <item x="38"/>
        <item x="14"/>
        <item x="75"/>
        <item x="25"/>
        <item x="80"/>
        <item x="50"/>
        <item x="20"/>
        <item x="3"/>
        <item x="111"/>
        <item x="86"/>
        <item x="34"/>
        <item x="11"/>
        <item x="72"/>
        <item x="21"/>
        <item x="76"/>
        <item x="47"/>
        <item x="15"/>
        <item x="2"/>
        <item x="110"/>
        <item x="84"/>
        <item x="28"/>
        <item x="9"/>
        <item x="69"/>
        <item x="18"/>
        <item x="73"/>
        <item x="39"/>
        <item x="10"/>
        <item x="1"/>
        <item x="108"/>
        <item x="81"/>
        <item x="23"/>
        <item x="6"/>
        <item x="66"/>
        <item x="13"/>
        <item x="70"/>
        <item x="32"/>
        <item x="8"/>
        <item x="0"/>
        <item x="105"/>
        <item x="78"/>
        <item x="16"/>
        <item x="5"/>
        <item x="63"/>
        <item t="default"/>
      </items>
    </pivotField>
    <pivotField showAll="0">
      <items count="7">
        <item x="2"/>
        <item h="1" x="5"/>
        <item h="1" x="3"/>
        <item h="1" x="4"/>
        <item h="1" x="1"/>
        <item h="1" x="0"/>
        <item t="default"/>
      </items>
    </pivotField>
    <pivotField showAll="0"/>
    <pivotField showAll="0"/>
    <pivotField showAll="0"/>
    <pivotField showAll="0"/>
    <pivotField dataField="1" numFmtId="164" showAll="0"/>
    <pivotField dataField="1" showAll="0"/>
    <pivotField axis="axisRow" showAll="0">
      <items count="3">
        <item x="0"/>
        <item x="1"/>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3">
    <i>
      <x/>
    </i>
    <i>
      <x v="1"/>
    </i>
    <i t="grand">
      <x/>
    </i>
  </rowItems>
  <colFields count="1">
    <field x="-2"/>
  </colFields>
  <colItems count="3">
    <i>
      <x/>
    </i>
    <i i="1">
      <x v="1"/>
    </i>
    <i i="2">
      <x v="2"/>
    </i>
  </colItems>
  <dataFields count="3">
    <dataField name="Sum of Sales" fld="7" baseField="0" baseItem="0" numFmtId="164"/>
    <dataField name="Count of Order IDA1:J21" fld="0" subtotal="count" baseField="9" baseItem="0"/>
    <dataField name="Sum of Quantity" fld="8" baseField="0" baseItem="0"/>
  </dataFields>
  <chartFormats count="3">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7CD2BB-4858-4EBF-9E21-C765D51D04DE}"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2" firstHeaderRow="1" firstDataRow="1" firstDataCol="1"/>
  <pivotFields count="15">
    <pivotField dataField="1" showAll="0"/>
    <pivotField numFmtId="14" showAll="0">
      <items count="121">
        <item x="96"/>
        <item x="109"/>
        <item x="79"/>
        <item x="59"/>
        <item x="68"/>
        <item x="117"/>
        <item x="106"/>
        <item x="61"/>
        <item x="51"/>
        <item x="99"/>
        <item x="54"/>
        <item x="90"/>
        <item x="107"/>
        <item x="41"/>
        <item x="27"/>
        <item x="116"/>
        <item x="101"/>
        <item x="56"/>
        <item x="45"/>
        <item x="93"/>
        <item x="67"/>
        <item x="104"/>
        <item x="74"/>
        <item x="52"/>
        <item x="43"/>
        <item x="113"/>
        <item x="98"/>
        <item x="64"/>
        <item x="30"/>
        <item x="87"/>
        <item x="48"/>
        <item x="94"/>
        <item x="71"/>
        <item x="36"/>
        <item x="19"/>
        <item x="115"/>
        <item x="103"/>
        <item x="55"/>
        <item x="24"/>
        <item x="82"/>
        <item x="42"/>
        <item x="100"/>
        <item x="65"/>
        <item x="29"/>
        <item x="37"/>
        <item x="119"/>
        <item x="95"/>
        <item x="49"/>
        <item x="40"/>
        <item x="91"/>
        <item x="58"/>
        <item x="102"/>
        <item x="62"/>
        <item x="44"/>
        <item x="12"/>
        <item x="118"/>
        <item x="97"/>
        <item x="60"/>
        <item x="33"/>
        <item x="85"/>
        <item x="35"/>
        <item x="88"/>
        <item x="57"/>
        <item x="22"/>
        <item x="7"/>
        <item x="114"/>
        <item x="92"/>
        <item x="46"/>
        <item x="17"/>
        <item x="77"/>
        <item x="31"/>
        <item x="83"/>
        <item x="53"/>
        <item x="26"/>
        <item x="4"/>
        <item x="112"/>
        <item x="89"/>
        <item x="38"/>
        <item x="14"/>
        <item x="75"/>
        <item x="25"/>
        <item x="80"/>
        <item x="50"/>
        <item x="20"/>
        <item x="3"/>
        <item x="111"/>
        <item x="86"/>
        <item x="34"/>
        <item x="11"/>
        <item x="72"/>
        <item x="21"/>
        <item x="76"/>
        <item x="47"/>
        <item x="15"/>
        <item x="2"/>
        <item x="110"/>
        <item x="84"/>
        <item x="28"/>
        <item x="9"/>
        <item x="69"/>
        <item x="18"/>
        <item x="73"/>
        <item x="39"/>
        <item x="10"/>
        <item x="1"/>
        <item x="108"/>
        <item x="81"/>
        <item x="23"/>
        <item x="6"/>
        <item x="66"/>
        <item x="13"/>
        <item x="70"/>
        <item x="32"/>
        <item x="8"/>
        <item x="0"/>
        <item x="105"/>
        <item x="78"/>
        <item x="16"/>
        <item x="5"/>
        <item x="63"/>
        <item t="default"/>
      </items>
    </pivotField>
    <pivotField showAll="0">
      <items count="7">
        <item x="2"/>
        <item h="1" x="5"/>
        <item h="1" x="3"/>
        <item h="1" x="4"/>
        <item h="1" x="1"/>
        <item h="1" x="0"/>
        <item t="default"/>
      </items>
    </pivotField>
    <pivotField showAll="0"/>
    <pivotField showAll="0"/>
    <pivotField showAll="0"/>
    <pivotField showAll="0"/>
    <pivotField numFmtId="164" showAll="0"/>
    <pivotField showAll="0"/>
    <pivotField showAll="0"/>
    <pivotField showAll="0"/>
    <pivotField axis="axisRow" showAll="0">
      <items count="15">
        <item x="13"/>
        <item x="12"/>
        <item x="11"/>
        <item x="10"/>
        <item x="9"/>
        <item x="8"/>
        <item x="7"/>
        <item x="6"/>
        <item x="5"/>
        <item x="3"/>
        <item x="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9">
    <i>
      <x v="5"/>
    </i>
    <i>
      <x v="6"/>
    </i>
    <i>
      <x v="8"/>
    </i>
    <i>
      <x v="9"/>
    </i>
    <i>
      <x v="10"/>
    </i>
    <i>
      <x v="11"/>
    </i>
    <i>
      <x v="12"/>
    </i>
    <i>
      <x v="13"/>
    </i>
    <i t="grand">
      <x/>
    </i>
  </rowItems>
  <colItems count="1">
    <i/>
  </colItems>
  <dataFields count="1">
    <dataField name="Count of Order IDA1:J21" fld="0" subtotal="count" baseField="11" baseItem="0"/>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D76610-2B2C-48D3-AEA6-48E786B10272}"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17" firstHeaderRow="1" firstDataRow="1" firstDataCol="1"/>
  <pivotFields count="12">
    <pivotField showAll="0"/>
    <pivotField numFmtId="14" showAll="0"/>
    <pivotField showAll="0"/>
    <pivotField showAll="0"/>
    <pivotField showAll="0"/>
    <pivotField showAll="0"/>
    <pivotField showAll="0"/>
    <pivotField dataField="1" numFmtId="164" showAll="0"/>
    <pivotField showAll="0"/>
    <pivotField axis="axisRow" showAll="0">
      <items count="3">
        <item x="0"/>
        <item x="1"/>
        <item t="default"/>
      </items>
    </pivotField>
    <pivotField showAll="0"/>
    <pivotField showAll="0"/>
  </pivotFields>
  <rowFields count="1">
    <field x="9"/>
  </rowFields>
  <rowItems count="3">
    <i>
      <x/>
    </i>
    <i>
      <x v="1"/>
    </i>
    <i t="grand">
      <x/>
    </i>
  </rowItems>
  <colItems count="1">
    <i/>
  </colItems>
  <dataFields count="1">
    <dataField name="Sum of Sales" fld="7" baseField="0" baseItem="0" numFmtId="164"/>
  </dataFields>
  <chartFormats count="4">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9" count="1" selected="0">
            <x v="0"/>
          </reference>
        </references>
      </pivotArea>
    </chartFormat>
    <chartFormat chart="5"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1B1A53-6151-48F3-AB10-06236634CD9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0" firstHeaderRow="1" firstDataRow="1" firstDataCol="1"/>
  <pivotFields count="12">
    <pivotField showAll="0"/>
    <pivotField numFmtId="14" showAll="0"/>
    <pivotField axis="axisRow" showAll="0">
      <items count="7">
        <item x="0"/>
        <item x="4"/>
        <item x="2"/>
        <item x="5"/>
        <item x="1"/>
        <item x="3"/>
        <item t="default"/>
      </items>
    </pivotField>
    <pivotField showAll="0"/>
    <pivotField showAll="0"/>
    <pivotField showAll="0"/>
    <pivotField showAll="0"/>
    <pivotField dataField="1" numFmtId="164"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Sales" fld="7" baseField="0" baseItem="0" numFmtId="164"/>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71B052-76C3-41E1-8DE3-D398607BD23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2">
    <pivotField showAll="0"/>
    <pivotField numFmtId="14" showAll="0"/>
    <pivotField showAll="0"/>
    <pivotField axis="axisRow" showAll="0">
      <items count="6">
        <item x="4"/>
        <item x="1"/>
        <item x="2"/>
        <item x="0"/>
        <item x="3"/>
        <item t="default"/>
      </items>
    </pivotField>
    <pivotField showAll="0"/>
    <pivotField showAll="0"/>
    <pivotField showAll="0"/>
    <pivotField dataField="1" numFmtId="164"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Sales" fld="7" baseField="0" baseItem="0" numFmtId="164"/>
  </dataFields>
  <chartFormats count="2">
    <chartFormat chart="13" format="3"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28A272-63F0-4694-A677-FDF53F34D7DB}"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4:E17" firstHeaderRow="1" firstDataRow="1" firstDataCol="1"/>
  <pivotFields count="12">
    <pivotField showAll="0"/>
    <pivotField numFmtId="14" showAll="0"/>
    <pivotField showAll="0"/>
    <pivotField showAll="0"/>
    <pivotField showAll="0"/>
    <pivotField showAll="0"/>
    <pivotField axis="axisRow" showAll="0">
      <items count="3">
        <item x="0"/>
        <item x="1"/>
        <item t="default"/>
      </items>
    </pivotField>
    <pivotField dataField="1" numFmtId="164" showAll="0"/>
    <pivotField showAll="0"/>
    <pivotField showAll="0"/>
    <pivotField showAll="0"/>
    <pivotField showAll="0"/>
  </pivotFields>
  <rowFields count="1">
    <field x="6"/>
  </rowFields>
  <rowItems count="3">
    <i>
      <x/>
    </i>
    <i>
      <x v="1"/>
    </i>
    <i t="grand">
      <x/>
    </i>
  </rowItems>
  <colItems count="1">
    <i/>
  </colItems>
  <dataFields count="1">
    <dataField name="Sum of Sales"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79889A-7EB5-4DE3-85EB-82A9E9170FCE}"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16" firstHeaderRow="1" firstDataRow="1" firstDataCol="1"/>
  <pivotFields count="15">
    <pivotField showAll="0"/>
    <pivotField axis="axisRow"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showAll="0"/>
    <pivotField showAll="0"/>
    <pivotField dataField="1" numFmtId="164"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13">
    <i>
      <x v="1"/>
    </i>
    <i>
      <x v="2"/>
    </i>
    <i>
      <x v="3"/>
    </i>
    <i>
      <x v="4"/>
    </i>
    <i>
      <x v="5"/>
    </i>
    <i>
      <x v="6"/>
    </i>
    <i>
      <x v="7"/>
    </i>
    <i>
      <x v="8"/>
    </i>
    <i>
      <x v="9"/>
    </i>
    <i>
      <x v="10"/>
    </i>
    <i>
      <x v="11"/>
    </i>
    <i>
      <x v="12"/>
    </i>
    <i t="grand">
      <x/>
    </i>
  </rowItems>
  <colItems count="1">
    <i/>
  </colItems>
  <dataFields count="1">
    <dataField name="Sum of Sales" fld="7" baseField="0" baseItem="0" numFmtId="164"/>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B9E5192-EEF0-42D0-963B-96E7A602BCEF}"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5">
    <pivotField showAll="0"/>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showAll="0"/>
    <pivotField showAll="0"/>
    <pivotField dataField="1" numFmtId="164" showAll="0"/>
    <pivotField showAll="0"/>
    <pivotField showAll="0"/>
    <pivotField showAll="0"/>
    <pivotField showAll="0"/>
    <pivotField axis="axisRow"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Items count="1">
    <i/>
  </colItems>
  <dataFields count="1">
    <dataField name="Sum of Sales"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23189E5-7F94-4108-9689-355C61B4790C}"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C7" firstHeaderRow="0" firstDataRow="1" firstDataCol="1"/>
  <pivotFields count="15">
    <pivotField dataField="1" showAll="0"/>
    <pivotField numFmtId="14" showAll="0">
      <items count="121">
        <item x="96"/>
        <item x="109"/>
        <item x="79"/>
        <item x="59"/>
        <item x="68"/>
        <item x="117"/>
        <item x="106"/>
        <item x="61"/>
        <item x="51"/>
        <item x="99"/>
        <item x="54"/>
        <item x="90"/>
        <item x="107"/>
        <item x="41"/>
        <item x="27"/>
        <item x="116"/>
        <item x="101"/>
        <item x="56"/>
        <item x="45"/>
        <item x="93"/>
        <item x="67"/>
        <item x="104"/>
        <item x="74"/>
        <item x="52"/>
        <item x="43"/>
        <item x="113"/>
        <item x="98"/>
        <item x="64"/>
        <item x="30"/>
        <item x="87"/>
        <item x="48"/>
        <item x="94"/>
        <item x="71"/>
        <item x="36"/>
        <item x="19"/>
        <item x="115"/>
        <item x="103"/>
        <item x="55"/>
        <item x="24"/>
        <item x="82"/>
        <item x="42"/>
        <item x="100"/>
        <item x="65"/>
        <item x="29"/>
        <item x="37"/>
        <item x="119"/>
        <item x="95"/>
        <item x="49"/>
        <item x="40"/>
        <item x="91"/>
        <item x="58"/>
        <item x="102"/>
        <item x="62"/>
        <item x="44"/>
        <item x="12"/>
        <item x="118"/>
        <item x="97"/>
        <item x="60"/>
        <item x="33"/>
        <item x="85"/>
        <item x="35"/>
        <item x="88"/>
        <item x="57"/>
        <item x="22"/>
        <item x="7"/>
        <item x="114"/>
        <item x="92"/>
        <item x="46"/>
        <item x="17"/>
        <item x="77"/>
        <item x="31"/>
        <item x="83"/>
        <item x="53"/>
        <item x="26"/>
        <item x="4"/>
        <item x="112"/>
        <item x="89"/>
        <item x="38"/>
        <item x="14"/>
        <item x="75"/>
        <item x="25"/>
        <item x="80"/>
        <item x="50"/>
        <item x="20"/>
        <item x="3"/>
        <item x="111"/>
        <item x="86"/>
        <item x="34"/>
        <item x="11"/>
        <item x="72"/>
        <item x="21"/>
        <item x="76"/>
        <item x="47"/>
        <item x="15"/>
        <item x="2"/>
        <item x="110"/>
        <item x="84"/>
        <item x="28"/>
        <item x="9"/>
        <item x="69"/>
        <item x="18"/>
        <item x="73"/>
        <item x="39"/>
        <item x="10"/>
        <item x="1"/>
        <item x="108"/>
        <item x="81"/>
        <item x="23"/>
        <item x="6"/>
        <item x="66"/>
        <item x="13"/>
        <item x="70"/>
        <item x="32"/>
        <item x="8"/>
        <item x="0"/>
        <item x="105"/>
        <item x="78"/>
        <item x="16"/>
        <item x="5"/>
        <item x="63"/>
        <item t="default"/>
      </items>
    </pivotField>
    <pivotField showAll="0">
      <items count="7">
        <item x="2"/>
        <item h="1" x="5"/>
        <item h="1" x="3"/>
        <item h="1" x="4"/>
        <item h="1" x="1"/>
        <item h="1" x="0"/>
        <item t="default"/>
      </items>
    </pivotField>
    <pivotField showAll="0">
      <items count="6">
        <item x="0"/>
        <item x="4"/>
        <item x="3"/>
        <item x="2"/>
        <item x="1"/>
        <item t="default"/>
      </items>
    </pivotField>
    <pivotField showAll="0"/>
    <pivotField showAll="0"/>
    <pivotField showAll="0">
      <items count="3">
        <item x="0"/>
        <item x="1"/>
        <item t="default"/>
      </items>
    </pivotField>
    <pivotField dataField="1" numFmtId="164" showAll="0"/>
    <pivotField showAll="0"/>
    <pivotField showAll="0">
      <items count="3">
        <item x="0"/>
        <item x="1"/>
        <item t="default"/>
      </items>
    </pivotField>
    <pivotField showAll="0"/>
    <pivotField showAll="0"/>
    <pivotField axis="axisRow" showAll="0">
      <items count="5">
        <item x="3"/>
        <item x="1"/>
        <item x="0"/>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5">
    <i>
      <x/>
    </i>
    <i>
      <x v="1"/>
    </i>
    <i>
      <x v="2"/>
    </i>
    <i>
      <x v="3"/>
    </i>
    <i t="grand">
      <x/>
    </i>
  </rowItems>
  <colFields count="1">
    <field x="-2"/>
  </colFields>
  <colItems count="2">
    <i>
      <x/>
    </i>
    <i i="1">
      <x v="1"/>
    </i>
  </colItems>
  <dataFields count="2">
    <dataField name="Sum of Sales" fld="7" baseField="0" baseItem="0" numFmtId="164"/>
    <dataField name="Sum of Order IDA1:J21" fld="0"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E4C445E-EA0D-4B79-A29B-95C531649444}"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B15" firstHeaderRow="1" firstDataRow="1" firstDataCol="1"/>
  <pivotFields count="15">
    <pivotField showAll="0"/>
    <pivotField axis="axisRow" numFmtId="14" showAll="0">
      <items count="121">
        <item x="96"/>
        <item x="109"/>
        <item x="79"/>
        <item x="59"/>
        <item x="68"/>
        <item x="117"/>
        <item x="106"/>
        <item x="61"/>
        <item x="51"/>
        <item x="99"/>
        <item x="54"/>
        <item x="90"/>
        <item x="107"/>
        <item x="41"/>
        <item x="27"/>
        <item x="116"/>
        <item x="101"/>
        <item x="56"/>
        <item x="45"/>
        <item x="93"/>
        <item x="67"/>
        <item x="104"/>
        <item x="74"/>
        <item x="52"/>
        <item x="43"/>
        <item x="113"/>
        <item x="98"/>
        <item x="64"/>
        <item x="30"/>
        <item x="87"/>
        <item x="48"/>
        <item x="94"/>
        <item x="71"/>
        <item x="36"/>
        <item x="19"/>
        <item x="115"/>
        <item x="103"/>
        <item x="55"/>
        <item x="24"/>
        <item x="82"/>
        <item x="42"/>
        <item x="100"/>
        <item x="65"/>
        <item x="29"/>
        <item x="37"/>
        <item x="119"/>
        <item x="95"/>
        <item x="49"/>
        <item x="40"/>
        <item x="91"/>
        <item x="58"/>
        <item x="102"/>
        <item x="62"/>
        <item x="44"/>
        <item x="12"/>
        <item x="118"/>
        <item x="97"/>
        <item x="60"/>
        <item x="33"/>
        <item x="85"/>
        <item x="35"/>
        <item x="88"/>
        <item x="57"/>
        <item x="22"/>
        <item x="7"/>
        <item x="114"/>
        <item x="92"/>
        <item x="46"/>
        <item x="17"/>
        <item x="77"/>
        <item x="31"/>
        <item x="83"/>
        <item x="53"/>
        <item x="26"/>
        <item x="4"/>
        <item x="112"/>
        <item x="89"/>
        <item x="38"/>
        <item x="14"/>
        <item x="75"/>
        <item x="25"/>
        <item x="80"/>
        <item x="50"/>
        <item x="20"/>
        <item x="3"/>
        <item x="111"/>
        <item x="86"/>
        <item x="34"/>
        <item x="11"/>
        <item x="72"/>
        <item x="21"/>
        <item x="76"/>
        <item x="47"/>
        <item x="15"/>
        <item x="2"/>
        <item x="110"/>
        <item x="84"/>
        <item x="28"/>
        <item x="9"/>
        <item x="69"/>
        <item x="18"/>
        <item x="73"/>
        <item x="39"/>
        <item x="10"/>
        <item x="1"/>
        <item x="108"/>
        <item x="81"/>
        <item x="23"/>
        <item x="6"/>
        <item x="66"/>
        <item x="13"/>
        <item x="70"/>
        <item x="32"/>
        <item x="8"/>
        <item x="0"/>
        <item x="105"/>
        <item x="78"/>
        <item x="16"/>
        <item x="5"/>
        <item x="63"/>
        <item t="default"/>
      </items>
    </pivotField>
    <pivotField showAll="0">
      <items count="7">
        <item x="2"/>
        <item h="1" x="5"/>
        <item h="1" x="3"/>
        <item h="1" x="4"/>
        <item h="1" x="1"/>
        <item h="1" x="0"/>
        <item t="default"/>
      </items>
    </pivotField>
    <pivotField showAll="0"/>
    <pivotField showAll="0"/>
    <pivotField showAll="0"/>
    <pivotField showAll="0"/>
    <pivotField dataField="1" numFmtId="164"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13">
    <i>
      <x v="1"/>
    </i>
    <i>
      <x v="2"/>
    </i>
    <i>
      <x v="3"/>
    </i>
    <i>
      <x v="4"/>
    </i>
    <i>
      <x v="5"/>
    </i>
    <i>
      <x v="6"/>
    </i>
    <i>
      <x v="7"/>
    </i>
    <i>
      <x v="8"/>
    </i>
    <i>
      <x v="9"/>
    </i>
    <i>
      <x v="10"/>
    </i>
    <i>
      <x v="11"/>
    </i>
    <i>
      <x v="12"/>
    </i>
    <i t="grand">
      <x/>
    </i>
  </rowItems>
  <colItems count="1">
    <i/>
  </colItems>
  <dataFields count="1">
    <dataField name="Sum of Sales" fld="7" baseField="0" baseItem="0" numFmtId="164"/>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72F7530-1437-486B-855D-AFD525C77B73}" sourceName="City">
  <pivotTables>
    <pivotTable tabId="17" name="PivotTable3"/>
    <pivotTable tabId="13" name="PivotTable1"/>
    <pivotTable tabId="16" name="PivotTable1"/>
    <pivotTable tabId="16" name="PivotTable2"/>
    <pivotTable tabId="20" name="PivotTable4"/>
    <pivotTable tabId="20" name="PivotTable5"/>
    <pivotTable tabId="20" name="PivotTable6"/>
    <pivotTable tabId="20" name="PivotTable7"/>
  </pivotTables>
  <data>
    <tabular pivotCacheId="1201778856">
      <items count="6">
        <i x="2" s="1"/>
        <i x="5"/>
        <i x="3"/>
        <i x="4"/>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2A5683F-3F22-46DD-9A05-DDC23E94F3C8}" sourceName="Category">
  <pivotTables>
    <pivotTable tabId="17" name="PivotTable3"/>
  </pivotTables>
  <data>
    <tabular pivotCacheId="1201778856">
      <items count="5">
        <i x="3" s="1"/>
        <i x="2" s="1"/>
        <i x="1" s="1"/>
        <i x="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2EDF069-65D9-4ECD-8C20-5F791BB073FC}" sourceName="Gender">
  <pivotTables>
    <pivotTable tabId="17" name="PivotTable3"/>
  </pivotTables>
  <data>
    <tabular pivotCacheId="120177885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216F9E76-8DDF-4C04-9CE5-697DEE0B5FB0}" sourceName="Channel">
  <pivotTables>
    <pivotTable tabId="17" name="PivotTable3"/>
  </pivotTables>
  <data>
    <tabular pivotCacheId="120177885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7836DA2-4802-4922-A99F-550CFBB753D8}" sourceName="Age Group">
  <pivotTables>
    <pivotTable tabId="17" name="PivotTable3"/>
  </pivotTables>
  <data>
    <tabular pivotCacheId="1201778856">
      <items count="4">
        <i x="3" s="1"/>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3288033-96BA-4191-B836-7652BCD0A882}" sourceName="Category">
  <pivotTables>
    <pivotTable tabId="16" name="PivotTable1"/>
  </pivotTables>
  <data>
    <tabular pivotCacheId="1201778856">
      <items count="5">
        <i x="3" s="1"/>
        <i x="2" s="1"/>
        <i x="1" s="1"/>
        <i x="0" s="1" nd="1"/>
        <i x="4"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19659B42-4DF1-4A11-994E-1037B46DBCD4}" sourceName="Gender">
  <pivotTables>
    <pivotTable tabId="16" name="PivotTable1"/>
  </pivotTables>
  <data>
    <tabular pivotCacheId="1201778856">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E259FCCD-CEB5-43B3-AA94-C64655947DA9}" sourceName="Channel">
  <pivotTables>
    <pivotTable tabId="16" name="PivotTable1"/>
  </pivotTables>
  <data>
    <tabular pivotCacheId="1201778856">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521F127B-B91C-49EA-BAF3-9C63EE683931}" sourceName="Age Group">
  <pivotTables>
    <pivotTable tabId="16" name="PivotTable1"/>
  </pivotTables>
  <data>
    <tabular pivotCacheId="1201778856">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E46F380-28DB-4560-9D54-EEE31B3DA69E}" cache="Slicer_City" caption="City" rowHeight="234950"/>
  <slicer name="Category" xr10:uid="{C8DBEE02-E74E-415D-9BB5-C064446713F9}" cache="Slicer_Category" caption="Category" rowHeight="234950"/>
  <slicer name="Gender" xr10:uid="{7E5280DD-70F7-40E8-9D45-8C7B38EDD919}" cache="Slicer_Gender" caption="Gender" rowHeight="234950"/>
  <slicer name="Channel" xr10:uid="{9641D7AA-4556-4F91-A5F7-6D6CEC75FA4F}" cache="Slicer_Channel" caption="Channel" rowHeight="234950"/>
  <slicer name="Age Group" xr10:uid="{6BDBD020-9188-4D8F-BC58-7646188648EF}" cache="Slicer_Age_Group" caption="Age Group"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FF37471E-9503-4235-8002-274B504CC909}" cache="Slicer_City" caption="City" rowHeight="234950"/>
  <slicer name="Category 1" xr10:uid="{BBDBC651-2B17-4BC9-A89A-2B6A73B82001}" cache="Slicer_Category1" caption="Category" rowHeight="234950"/>
  <slicer name="Gender 1" xr10:uid="{281CA910-3EC5-41CE-800B-112E6C19711D}" cache="Slicer_Gender1" caption="Gender" rowHeight="234950"/>
  <slicer name="Channel 1" xr10:uid="{A3A5201C-E790-4209-8D2C-66E02898DF02}" cache="Slicer_Channel1" caption="Channel" rowHeight="234950"/>
  <slicer name="Age Group 1" xr10:uid="{72B4C25C-C5E1-4D2E-BF88-F5240966EE10}" cache="Slicer_Age_Group1" caption="Age Grou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BDAD56-4E5F-4552-ABE2-E3B95BDA5FFB}" name="Table1" displayName="Table1" ref="A1:L121" totalsRowShown="0" headerRowDxfId="20">
  <autoFilter ref="A1:L121" xr:uid="{EEBDAD56-4E5F-4552-ABE2-E3B95BDA5FFB}"/>
  <tableColumns count="12">
    <tableColumn id="1" xr3:uid="{8190FEE8-B913-4F21-AD6E-9A9DFC44126B}" name="Order ID"/>
    <tableColumn id="2" xr3:uid="{9CEC3D79-7B61-48BC-BB51-AC89556298D0}" name="Date" dataDxfId="19"/>
    <tableColumn id="3" xr3:uid="{DE040AB8-895D-4EE0-8B21-6BC5B9F98DE2}" name="City"/>
    <tableColumn id="4" xr3:uid="{80319AA9-3FEE-44FA-AA0A-D3ABE3C98FE7}" name="Category"/>
    <tableColumn id="5" xr3:uid="{5AEDB00E-879A-4AF0-AADF-21C5A1578B35}" name="Product"/>
    <tableColumn id="6" xr3:uid="{5595BEAE-AAFD-4747-A6D7-B6555BF65C7E}" name="Age"/>
    <tableColumn id="7" xr3:uid="{F6D9741D-9E46-467A-BEAA-02984F358AB3}" name="Gender"/>
    <tableColumn id="8" xr3:uid="{E0E04430-F6F2-4514-A2C3-32C27D8C463C}" name="Sales" dataDxfId="18"/>
    <tableColumn id="9" xr3:uid="{420DDB75-BE86-4FEE-8F70-CB67CF035F17}" name="Quantity"/>
    <tableColumn id="10" xr3:uid="{987CDD57-5DD3-46F0-84C5-92E6993EBC6C}" name="Channel"/>
    <tableColumn id="11" xr3:uid="{BE571022-69E4-4744-BE62-97A4488997B7}" name="Payment Mode"/>
    <tableColumn id="12" xr3:uid="{1940517E-3F4A-4FDF-A3EB-AB27FACFF67D}"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E76321-6497-4396-A134-251F70DF341B}" name="BeautyData" displayName="BeautyData" ref="A1:M121" totalsRowShown="0" dataDxfId="17" tableBorderDxfId="16">
  <autoFilter ref="A1:M121" xr:uid="{4AE76321-6497-4396-A134-251F70DF341B}"/>
  <sortState xmlns:xlrd2="http://schemas.microsoft.com/office/spreadsheetml/2017/richdata2" ref="A2:M121">
    <sortCondition descending="1" ref="H1:H121"/>
  </sortState>
  <tableColumns count="13">
    <tableColumn id="1" xr3:uid="{AD78292F-CB9E-4F61-B0D3-FBDDCD1EDCBD}" name="Order ID" dataDxfId="15"/>
    <tableColumn id="2" xr3:uid="{A940B4EB-2427-455A-B41C-F006D0DCA2A6}" name="Date" dataDxfId="14"/>
    <tableColumn id="3" xr3:uid="{73B2462F-12B7-46C1-8142-93E15647BBE9}" name="City" dataDxfId="13"/>
    <tableColumn id="4" xr3:uid="{6CF7AA15-2BBC-4BE6-9485-C39D7868FAAD}" name="Category" dataDxfId="12"/>
    <tableColumn id="5" xr3:uid="{778DC215-8762-459E-9C55-5CB66B549ECC}" name="Product" dataDxfId="11"/>
    <tableColumn id="6" xr3:uid="{E77AAB45-7A57-413D-9B42-A7993258AE71}" name="Age" dataDxfId="10"/>
    <tableColumn id="7" xr3:uid="{0B2ECDA4-BA12-423E-A99C-7CE1FD0A091C}" name="Gender" dataDxfId="9"/>
    <tableColumn id="8" xr3:uid="{12675B3F-C125-4DE4-AA28-40993B1FA996}" name="Sales" dataDxfId="8"/>
    <tableColumn id="9" xr3:uid="{3F5600B6-2D7A-4491-AB53-00142BC1CC8D}" name="Quantity" dataDxfId="7"/>
    <tableColumn id="10" xr3:uid="{7EE41CA1-141A-4015-87DE-E3FA411272D2}" name="Channel" dataDxfId="6"/>
    <tableColumn id="11" xr3:uid="{AC7E2906-E78B-425A-8E47-36A19300226C}" name="Payment Mode" dataDxfId="5"/>
    <tableColumn id="12" xr3:uid="{BB02E9E5-CDE7-404E-95E3-F152777D9F2E}" name="Rating" dataDxfId="4"/>
    <tableColumn id="13" xr3:uid="{49B336B4-733F-4C24-BEC0-09F6A6AA16EE}" name="Age Group">
      <calculatedColumnFormula>IF(F2&lt;25,"18-24",IF(F2&lt;35,"25-34",IF(F2&lt;45,"35-44","45+")))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7E2369-3345-410E-9ADA-B95A46017614}" name="Table3" displayName="Table3" ref="A3:M13" totalsRowShown="0">
  <autoFilter ref="A3:M13" xr:uid="{D07E2369-3345-410E-9ADA-B95A46017614}"/>
  <tableColumns count="13">
    <tableColumn id="1" xr3:uid="{8E58B72F-70D3-4752-9843-FE3164CDE9CF}" name="Order IDA1:J21"/>
    <tableColumn id="2" xr3:uid="{82E3E379-EB85-4ED4-AD38-DE2983166294}" name="Date" dataDxfId="3"/>
    <tableColumn id="3" xr3:uid="{6D2BEF2F-FD74-48E1-9CE5-F36B20EB1400}" name="City"/>
    <tableColumn id="4" xr3:uid="{90888AC4-9A31-48C7-BC25-87CB8207899D}" name="Category"/>
    <tableColumn id="5" xr3:uid="{1D126EA5-24B8-4AB8-948F-9695D9F975A6}" name="Product"/>
    <tableColumn id="6" xr3:uid="{818F1F74-D901-4A09-8634-08D286C6BFD3}" name="Age"/>
    <tableColumn id="7" xr3:uid="{78D793F9-0239-43ED-AD29-48ADE096753F}" name="Gender"/>
    <tableColumn id="8" xr3:uid="{F15C1F6B-C07D-461C-823F-89672F1EA6E6}" name="Sales"/>
    <tableColumn id="9" xr3:uid="{91A2D113-02F1-4B77-814D-676632E3FE3B}" name="Quantity"/>
    <tableColumn id="10" xr3:uid="{91A3FD15-C09B-452C-A53F-F95BF7A77AF3}" name="Channel"/>
    <tableColumn id="11" xr3:uid="{A65C013C-D934-4D4F-AE53-4998EEB1ACBA}" name="Payment Mode"/>
    <tableColumn id="12" xr3:uid="{B7A4F5F9-C7A6-41A1-B6B7-2FD7848F07DB}" name="Rating"/>
    <tableColumn id="13" xr3:uid="{DB53FF81-4178-4D89-B249-0B268A921254}" name="Age Grou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97CF3-84CE-40C4-90C5-5B131D68C705}">
  <dimension ref="A1:L121"/>
  <sheetViews>
    <sheetView workbookViewId="0"/>
  </sheetViews>
  <sheetFormatPr defaultRowHeight="14.4" x14ac:dyDescent="0.3"/>
  <cols>
    <col min="1" max="1" width="9.88671875" customWidth="1"/>
    <col min="2" max="2" width="14.21875" customWidth="1"/>
    <col min="3" max="3" width="12.5546875" customWidth="1"/>
    <col min="4" max="4" width="13.21875" customWidth="1"/>
    <col min="5" max="5" width="14.44140625" customWidth="1"/>
    <col min="7" max="7" width="9" customWidth="1"/>
    <col min="8" max="8" width="12.33203125" customWidth="1"/>
    <col min="9" max="9" width="10.21875" customWidth="1"/>
    <col min="10" max="10" width="14" customWidth="1"/>
    <col min="11" max="11" width="15.88671875" customWidth="1"/>
  </cols>
  <sheetData>
    <row r="1" spans="1:12" x14ac:dyDescent="0.3">
      <c r="A1" s="3" t="s">
        <v>0</v>
      </c>
      <c r="B1" s="3" t="s">
        <v>1</v>
      </c>
      <c r="C1" s="3" t="s">
        <v>2</v>
      </c>
      <c r="D1" s="4" t="s">
        <v>3</v>
      </c>
      <c r="E1" s="3" t="s">
        <v>4</v>
      </c>
      <c r="F1" s="3" t="s">
        <v>5</v>
      </c>
      <c r="G1" s="4" t="s">
        <v>6</v>
      </c>
      <c r="H1" s="4" t="s">
        <v>7</v>
      </c>
      <c r="I1" s="4" t="s">
        <v>8</v>
      </c>
      <c r="J1" s="4" t="s">
        <v>9</v>
      </c>
      <c r="K1" s="3" t="s">
        <v>10</v>
      </c>
      <c r="L1" s="4" t="s">
        <v>11</v>
      </c>
    </row>
    <row r="2" spans="1:12" x14ac:dyDescent="0.3">
      <c r="A2">
        <v>1001</v>
      </c>
      <c r="B2" s="2">
        <v>45658</v>
      </c>
      <c r="C2" t="s">
        <v>12</v>
      </c>
      <c r="D2" s="1" t="s">
        <v>13</v>
      </c>
      <c r="E2" t="s">
        <v>14</v>
      </c>
      <c r="F2">
        <v>24</v>
      </c>
      <c r="G2" s="1" t="s">
        <v>15</v>
      </c>
      <c r="H2" s="9">
        <v>1200</v>
      </c>
      <c r="I2">
        <v>2</v>
      </c>
      <c r="J2" t="s">
        <v>16</v>
      </c>
      <c r="K2" t="s">
        <v>17</v>
      </c>
      <c r="L2" s="1">
        <v>4.5</v>
      </c>
    </row>
    <row r="3" spans="1:12" x14ac:dyDescent="0.3">
      <c r="A3">
        <v>1002</v>
      </c>
      <c r="B3" s="2">
        <v>45660</v>
      </c>
      <c r="C3" t="s">
        <v>18</v>
      </c>
      <c r="D3" t="s">
        <v>19</v>
      </c>
      <c r="E3" t="s">
        <v>20</v>
      </c>
      <c r="F3">
        <v>31</v>
      </c>
      <c r="G3" t="s">
        <v>15</v>
      </c>
      <c r="H3" s="10">
        <v>850</v>
      </c>
      <c r="I3">
        <v>1</v>
      </c>
      <c r="J3" t="s">
        <v>21</v>
      </c>
      <c r="K3" t="s">
        <v>22</v>
      </c>
      <c r="L3">
        <v>4</v>
      </c>
    </row>
    <row r="4" spans="1:12" x14ac:dyDescent="0.3">
      <c r="A4">
        <v>1003</v>
      </c>
      <c r="B4" s="2">
        <v>45662</v>
      </c>
      <c r="C4" t="s">
        <v>23</v>
      </c>
      <c r="D4" t="s">
        <v>24</v>
      </c>
      <c r="E4" t="s">
        <v>25</v>
      </c>
      <c r="F4">
        <v>27</v>
      </c>
      <c r="G4" t="s">
        <v>15</v>
      </c>
      <c r="H4" s="10">
        <v>1500</v>
      </c>
      <c r="I4">
        <v>3</v>
      </c>
      <c r="J4" t="s">
        <v>16</v>
      </c>
      <c r="K4" t="s">
        <v>17</v>
      </c>
      <c r="L4">
        <v>4.7</v>
      </c>
    </row>
    <row r="5" spans="1:12" x14ac:dyDescent="0.3">
      <c r="A5">
        <v>1004</v>
      </c>
      <c r="B5" s="2">
        <v>45665</v>
      </c>
      <c r="C5" t="s">
        <v>12</v>
      </c>
      <c r="D5" t="s">
        <v>26</v>
      </c>
      <c r="E5" t="s">
        <v>27</v>
      </c>
      <c r="F5">
        <v>35</v>
      </c>
      <c r="G5" t="s">
        <v>28</v>
      </c>
      <c r="H5" s="10">
        <v>2200</v>
      </c>
      <c r="I5">
        <v>2</v>
      </c>
      <c r="J5" t="s">
        <v>21</v>
      </c>
      <c r="K5" t="s">
        <v>22</v>
      </c>
      <c r="L5">
        <v>4.2</v>
      </c>
    </row>
    <row r="6" spans="1:12" x14ac:dyDescent="0.3">
      <c r="A6">
        <v>1005</v>
      </c>
      <c r="B6" s="2">
        <v>45669</v>
      </c>
      <c r="C6" t="s">
        <v>29</v>
      </c>
      <c r="D6" t="s">
        <v>30</v>
      </c>
      <c r="E6" t="s">
        <v>31</v>
      </c>
      <c r="F6">
        <v>29</v>
      </c>
      <c r="G6" t="s">
        <v>15</v>
      </c>
      <c r="H6" s="10">
        <v>1800</v>
      </c>
      <c r="I6">
        <v>1</v>
      </c>
      <c r="J6" t="s">
        <v>16</v>
      </c>
      <c r="K6" t="s">
        <v>32</v>
      </c>
      <c r="L6">
        <v>4.8</v>
      </c>
    </row>
    <row r="7" spans="1:12" x14ac:dyDescent="0.3">
      <c r="A7">
        <v>1006</v>
      </c>
      <c r="B7" s="2">
        <v>45672</v>
      </c>
      <c r="C7" t="s">
        <v>33</v>
      </c>
      <c r="D7" t="s">
        <v>13</v>
      </c>
      <c r="E7" t="s">
        <v>34</v>
      </c>
      <c r="F7">
        <v>22</v>
      </c>
      <c r="G7" t="s">
        <v>15</v>
      </c>
      <c r="H7" s="10">
        <v>650</v>
      </c>
      <c r="I7">
        <v>2</v>
      </c>
      <c r="J7" t="s">
        <v>16</v>
      </c>
      <c r="K7" t="s">
        <v>17</v>
      </c>
      <c r="L7">
        <v>4.0999999999999996</v>
      </c>
    </row>
    <row r="8" spans="1:12" x14ac:dyDescent="0.3">
      <c r="A8">
        <v>1007</v>
      </c>
      <c r="B8" s="2">
        <v>45675</v>
      </c>
      <c r="C8" t="s">
        <v>35</v>
      </c>
      <c r="D8" t="s">
        <v>19</v>
      </c>
      <c r="E8" t="s">
        <v>36</v>
      </c>
      <c r="F8">
        <v>40</v>
      </c>
      <c r="G8" t="s">
        <v>28</v>
      </c>
      <c r="H8" s="10">
        <v>900</v>
      </c>
      <c r="I8">
        <v>2</v>
      </c>
      <c r="J8" t="s">
        <v>21</v>
      </c>
      <c r="K8" t="s">
        <v>37</v>
      </c>
      <c r="L8">
        <v>3.9</v>
      </c>
    </row>
    <row r="9" spans="1:12" x14ac:dyDescent="0.3">
      <c r="A9">
        <v>1008</v>
      </c>
      <c r="B9" s="2">
        <v>45679</v>
      </c>
      <c r="C9" t="s">
        <v>12</v>
      </c>
      <c r="D9" t="s">
        <v>24</v>
      </c>
      <c r="E9" t="s">
        <v>38</v>
      </c>
      <c r="F9">
        <v>26</v>
      </c>
      <c r="G9" t="s">
        <v>15</v>
      </c>
      <c r="H9" s="10">
        <v>2100</v>
      </c>
      <c r="I9">
        <v>2</v>
      </c>
      <c r="J9" t="s">
        <v>16</v>
      </c>
      <c r="K9" t="s">
        <v>22</v>
      </c>
      <c r="L9">
        <v>4.5999999999999996</v>
      </c>
    </row>
    <row r="10" spans="1:12" x14ac:dyDescent="0.3">
      <c r="A10">
        <v>1009</v>
      </c>
      <c r="B10" s="2">
        <v>45682</v>
      </c>
      <c r="C10" t="s">
        <v>18</v>
      </c>
      <c r="D10" t="s">
        <v>26</v>
      </c>
      <c r="E10" t="s">
        <v>39</v>
      </c>
      <c r="F10">
        <v>33</v>
      </c>
      <c r="G10" t="s">
        <v>28</v>
      </c>
      <c r="H10" s="10">
        <v>2500</v>
      </c>
      <c r="I10">
        <v>1</v>
      </c>
      <c r="J10" t="s">
        <v>16</v>
      </c>
      <c r="K10" t="s">
        <v>17</v>
      </c>
      <c r="L10">
        <v>4.4000000000000004</v>
      </c>
    </row>
    <row r="11" spans="1:12" x14ac:dyDescent="0.3">
      <c r="A11">
        <v>1010</v>
      </c>
      <c r="B11" s="2">
        <v>45685</v>
      </c>
      <c r="C11" t="s">
        <v>23</v>
      </c>
      <c r="D11" t="s">
        <v>13</v>
      </c>
      <c r="E11" t="s">
        <v>40</v>
      </c>
      <c r="F11">
        <v>37</v>
      </c>
      <c r="G11" t="s">
        <v>15</v>
      </c>
      <c r="H11" s="10">
        <v>1100</v>
      </c>
      <c r="I11">
        <v>2</v>
      </c>
      <c r="J11" t="s">
        <v>21</v>
      </c>
      <c r="K11" t="s">
        <v>22</v>
      </c>
      <c r="L11">
        <v>4.3</v>
      </c>
    </row>
    <row r="12" spans="1:12" x14ac:dyDescent="0.3">
      <c r="A12">
        <v>1011</v>
      </c>
      <c r="B12" s="2">
        <v>45690</v>
      </c>
      <c r="C12" t="s">
        <v>12</v>
      </c>
      <c r="D12" t="s">
        <v>13</v>
      </c>
      <c r="E12" t="s">
        <v>14</v>
      </c>
      <c r="F12">
        <v>25</v>
      </c>
      <c r="G12" t="s">
        <v>15</v>
      </c>
      <c r="H12" s="10">
        <v>2400</v>
      </c>
      <c r="I12">
        <v>3</v>
      </c>
      <c r="J12" t="s">
        <v>16</v>
      </c>
      <c r="K12" t="s">
        <v>17</v>
      </c>
      <c r="L12">
        <v>4.9000000000000004</v>
      </c>
    </row>
    <row r="13" spans="1:12" x14ac:dyDescent="0.3">
      <c r="A13">
        <v>1012</v>
      </c>
      <c r="B13" s="2">
        <v>45693</v>
      </c>
      <c r="C13" t="s">
        <v>18</v>
      </c>
      <c r="D13" t="s">
        <v>19</v>
      </c>
      <c r="E13" t="s">
        <v>20</v>
      </c>
      <c r="F13">
        <v>30</v>
      </c>
      <c r="G13" t="s">
        <v>15</v>
      </c>
      <c r="H13" s="10">
        <v>1300</v>
      </c>
      <c r="I13">
        <v>2</v>
      </c>
      <c r="J13" t="s">
        <v>21</v>
      </c>
      <c r="K13" t="s">
        <v>22</v>
      </c>
      <c r="L13">
        <v>4.0999999999999996</v>
      </c>
    </row>
    <row r="14" spans="1:12" x14ac:dyDescent="0.3">
      <c r="A14">
        <v>1013</v>
      </c>
      <c r="B14" s="2">
        <v>45696</v>
      </c>
      <c r="C14" t="s">
        <v>23</v>
      </c>
      <c r="D14" t="s">
        <v>24</v>
      </c>
      <c r="E14" t="s">
        <v>25</v>
      </c>
      <c r="F14">
        <v>23</v>
      </c>
      <c r="G14" t="s">
        <v>15</v>
      </c>
      <c r="H14" s="10">
        <v>900</v>
      </c>
      <c r="I14">
        <v>2</v>
      </c>
      <c r="J14" t="s">
        <v>16</v>
      </c>
      <c r="K14" t="s">
        <v>17</v>
      </c>
      <c r="L14">
        <v>4.5</v>
      </c>
    </row>
    <row r="15" spans="1:12" x14ac:dyDescent="0.3">
      <c r="A15">
        <v>1014</v>
      </c>
      <c r="B15" s="2">
        <v>45699</v>
      </c>
      <c r="C15" t="s">
        <v>12</v>
      </c>
      <c r="D15" t="s">
        <v>26</v>
      </c>
      <c r="E15" t="s">
        <v>27</v>
      </c>
      <c r="F15">
        <v>42</v>
      </c>
      <c r="G15" t="s">
        <v>28</v>
      </c>
      <c r="H15" s="10">
        <v>2800</v>
      </c>
      <c r="I15">
        <v>2</v>
      </c>
      <c r="J15" t="s">
        <v>16</v>
      </c>
      <c r="K15" t="s">
        <v>22</v>
      </c>
      <c r="L15">
        <v>4.5999999999999996</v>
      </c>
    </row>
    <row r="16" spans="1:12" x14ac:dyDescent="0.3">
      <c r="A16">
        <v>1015</v>
      </c>
      <c r="B16" s="2">
        <v>45702</v>
      </c>
      <c r="C16" t="s">
        <v>29</v>
      </c>
      <c r="D16" t="s">
        <v>30</v>
      </c>
      <c r="E16" t="s">
        <v>31</v>
      </c>
      <c r="F16">
        <v>28</v>
      </c>
      <c r="G16" t="s">
        <v>15</v>
      </c>
      <c r="H16" s="10">
        <v>3200</v>
      </c>
      <c r="I16">
        <v>2</v>
      </c>
      <c r="J16" t="s">
        <v>16</v>
      </c>
      <c r="K16" t="s">
        <v>32</v>
      </c>
      <c r="L16">
        <v>4.8</v>
      </c>
    </row>
    <row r="17" spans="1:12" x14ac:dyDescent="0.3">
      <c r="A17">
        <v>1016</v>
      </c>
      <c r="B17" s="2">
        <v>45705</v>
      </c>
      <c r="C17" t="s">
        <v>33</v>
      </c>
      <c r="D17" t="s">
        <v>13</v>
      </c>
      <c r="E17" t="s">
        <v>34</v>
      </c>
      <c r="F17">
        <v>21</v>
      </c>
      <c r="G17" t="s">
        <v>15</v>
      </c>
      <c r="H17" s="10">
        <v>700</v>
      </c>
      <c r="I17">
        <v>2</v>
      </c>
      <c r="J17" t="s">
        <v>21</v>
      </c>
      <c r="K17" t="s">
        <v>37</v>
      </c>
      <c r="L17">
        <v>3.8</v>
      </c>
    </row>
    <row r="18" spans="1:12" x14ac:dyDescent="0.3">
      <c r="A18">
        <v>1017</v>
      </c>
      <c r="B18" s="2">
        <v>45708</v>
      </c>
      <c r="C18" t="s">
        <v>35</v>
      </c>
      <c r="D18" t="s">
        <v>19</v>
      </c>
      <c r="E18" t="s">
        <v>36</v>
      </c>
      <c r="F18">
        <v>36</v>
      </c>
      <c r="G18" t="s">
        <v>28</v>
      </c>
      <c r="H18" s="10">
        <v>1050</v>
      </c>
      <c r="I18">
        <v>2</v>
      </c>
      <c r="J18" t="s">
        <v>16</v>
      </c>
      <c r="K18" t="s">
        <v>17</v>
      </c>
      <c r="L18">
        <v>4</v>
      </c>
    </row>
    <row r="19" spans="1:12" x14ac:dyDescent="0.3">
      <c r="A19">
        <v>1018</v>
      </c>
      <c r="B19" s="2">
        <v>45711</v>
      </c>
      <c r="C19" t="s">
        <v>12</v>
      </c>
      <c r="D19" t="s">
        <v>24</v>
      </c>
      <c r="E19" t="s">
        <v>38</v>
      </c>
      <c r="F19">
        <v>29</v>
      </c>
      <c r="G19" t="s">
        <v>15</v>
      </c>
      <c r="H19" s="10">
        <v>2300</v>
      </c>
      <c r="I19">
        <v>2</v>
      </c>
      <c r="J19" t="s">
        <v>16</v>
      </c>
      <c r="K19" t="s">
        <v>22</v>
      </c>
      <c r="L19">
        <v>4.7</v>
      </c>
    </row>
    <row r="20" spans="1:12" x14ac:dyDescent="0.3">
      <c r="A20">
        <v>1019</v>
      </c>
      <c r="B20" s="2">
        <v>45714</v>
      </c>
      <c r="C20" t="s">
        <v>18</v>
      </c>
      <c r="D20" t="s">
        <v>26</v>
      </c>
      <c r="E20" t="s">
        <v>39</v>
      </c>
      <c r="F20">
        <v>34</v>
      </c>
      <c r="G20" t="s">
        <v>28</v>
      </c>
      <c r="H20" s="10">
        <v>2700</v>
      </c>
      <c r="I20">
        <v>1</v>
      </c>
      <c r="J20" t="s">
        <v>16</v>
      </c>
      <c r="K20" t="s">
        <v>17</v>
      </c>
      <c r="L20">
        <v>4.5</v>
      </c>
    </row>
    <row r="21" spans="1:12" x14ac:dyDescent="0.3">
      <c r="A21">
        <v>1020</v>
      </c>
      <c r="B21" s="2">
        <v>45716</v>
      </c>
      <c r="C21" t="s">
        <v>23</v>
      </c>
      <c r="D21" t="s">
        <v>13</v>
      </c>
      <c r="E21" t="s">
        <v>40</v>
      </c>
      <c r="F21">
        <v>39</v>
      </c>
      <c r="G21" t="s">
        <v>15</v>
      </c>
      <c r="H21" s="10">
        <v>1250</v>
      </c>
      <c r="I21">
        <v>2</v>
      </c>
      <c r="J21" t="s">
        <v>21</v>
      </c>
      <c r="K21" t="s">
        <v>22</v>
      </c>
      <c r="L21">
        <v>4.2</v>
      </c>
    </row>
    <row r="22" spans="1:12" x14ac:dyDescent="0.3">
      <c r="A22">
        <v>1021</v>
      </c>
      <c r="B22" s="2">
        <v>45719</v>
      </c>
      <c r="C22" t="s">
        <v>12</v>
      </c>
      <c r="D22" t="s">
        <v>13</v>
      </c>
      <c r="E22" t="s">
        <v>14</v>
      </c>
      <c r="F22">
        <v>26</v>
      </c>
      <c r="G22" t="s">
        <v>15</v>
      </c>
      <c r="H22" s="10">
        <v>1850</v>
      </c>
      <c r="I22">
        <v>2</v>
      </c>
      <c r="J22" t="s">
        <v>16</v>
      </c>
      <c r="K22" t="s">
        <v>17</v>
      </c>
      <c r="L22">
        <v>4.5999999999999996</v>
      </c>
    </row>
    <row r="23" spans="1:12" x14ac:dyDescent="0.3">
      <c r="A23">
        <v>1022</v>
      </c>
      <c r="B23" s="2">
        <v>45721</v>
      </c>
      <c r="C23" t="s">
        <v>18</v>
      </c>
      <c r="D23" t="s">
        <v>19</v>
      </c>
      <c r="E23" t="s">
        <v>20</v>
      </c>
      <c r="F23">
        <v>32</v>
      </c>
      <c r="G23" t="s">
        <v>15</v>
      </c>
      <c r="H23" s="10">
        <v>950</v>
      </c>
      <c r="I23">
        <v>2</v>
      </c>
      <c r="J23" t="s">
        <v>21</v>
      </c>
      <c r="K23" t="s">
        <v>22</v>
      </c>
      <c r="L23">
        <v>4.0999999999999996</v>
      </c>
    </row>
    <row r="24" spans="1:12" x14ac:dyDescent="0.3">
      <c r="A24">
        <v>1023</v>
      </c>
      <c r="B24" s="2">
        <v>45723</v>
      </c>
      <c r="C24" t="s">
        <v>23</v>
      </c>
      <c r="D24" t="s">
        <v>24</v>
      </c>
      <c r="E24" t="s">
        <v>25</v>
      </c>
      <c r="F24">
        <v>28</v>
      </c>
      <c r="G24" t="s">
        <v>15</v>
      </c>
      <c r="H24" s="10">
        <v>1650</v>
      </c>
      <c r="I24">
        <v>3</v>
      </c>
      <c r="J24" t="s">
        <v>16</v>
      </c>
      <c r="K24" t="s">
        <v>17</v>
      </c>
      <c r="L24">
        <v>4.7</v>
      </c>
    </row>
    <row r="25" spans="1:12" x14ac:dyDescent="0.3">
      <c r="A25">
        <v>1024</v>
      </c>
      <c r="B25" s="2">
        <v>45725</v>
      </c>
      <c r="C25" t="s">
        <v>12</v>
      </c>
      <c r="D25" t="s">
        <v>26</v>
      </c>
      <c r="E25" t="s">
        <v>27</v>
      </c>
      <c r="F25">
        <v>38</v>
      </c>
      <c r="G25" t="s">
        <v>28</v>
      </c>
      <c r="H25" s="10">
        <v>2450</v>
      </c>
      <c r="I25">
        <v>2</v>
      </c>
      <c r="J25" t="s">
        <v>16</v>
      </c>
      <c r="K25" t="s">
        <v>22</v>
      </c>
      <c r="L25">
        <v>4.3</v>
      </c>
    </row>
    <row r="26" spans="1:12" x14ac:dyDescent="0.3">
      <c r="A26">
        <v>1025</v>
      </c>
      <c r="B26" s="2">
        <v>45727</v>
      </c>
      <c r="C26" t="s">
        <v>29</v>
      </c>
      <c r="D26" t="s">
        <v>30</v>
      </c>
      <c r="E26" t="s">
        <v>31</v>
      </c>
      <c r="F26">
        <v>30</v>
      </c>
      <c r="G26" t="s">
        <v>15</v>
      </c>
      <c r="H26" s="10">
        <v>2750</v>
      </c>
      <c r="I26">
        <v>2</v>
      </c>
      <c r="J26" t="s">
        <v>16</v>
      </c>
      <c r="K26" t="s">
        <v>32</v>
      </c>
      <c r="L26">
        <v>4.8</v>
      </c>
    </row>
    <row r="27" spans="1:12" x14ac:dyDescent="0.3">
      <c r="A27">
        <v>1026</v>
      </c>
      <c r="B27" s="2">
        <v>45729</v>
      </c>
      <c r="C27" t="s">
        <v>33</v>
      </c>
      <c r="D27" t="s">
        <v>13</v>
      </c>
      <c r="E27" t="s">
        <v>34</v>
      </c>
      <c r="F27">
        <v>23</v>
      </c>
      <c r="G27" t="s">
        <v>15</v>
      </c>
      <c r="H27" s="10">
        <v>780</v>
      </c>
      <c r="I27">
        <v>2</v>
      </c>
      <c r="J27" t="s">
        <v>21</v>
      </c>
      <c r="K27" t="s">
        <v>37</v>
      </c>
      <c r="L27">
        <v>4</v>
      </c>
    </row>
    <row r="28" spans="1:12" x14ac:dyDescent="0.3">
      <c r="A28">
        <v>1027</v>
      </c>
      <c r="B28" s="2">
        <v>45731</v>
      </c>
      <c r="C28" t="s">
        <v>35</v>
      </c>
      <c r="D28" t="s">
        <v>19</v>
      </c>
      <c r="E28" t="s">
        <v>36</v>
      </c>
      <c r="F28">
        <v>41</v>
      </c>
      <c r="G28" t="s">
        <v>28</v>
      </c>
      <c r="H28" s="10">
        <v>1150</v>
      </c>
      <c r="I28">
        <v>2</v>
      </c>
      <c r="J28" t="s">
        <v>21</v>
      </c>
      <c r="K28" t="s">
        <v>17</v>
      </c>
      <c r="L28">
        <v>4.2</v>
      </c>
    </row>
    <row r="29" spans="1:12" x14ac:dyDescent="0.3">
      <c r="A29">
        <v>1028</v>
      </c>
      <c r="B29" s="2">
        <v>45733</v>
      </c>
      <c r="C29" t="s">
        <v>12</v>
      </c>
      <c r="D29" t="s">
        <v>24</v>
      </c>
      <c r="E29" t="s">
        <v>38</v>
      </c>
      <c r="F29">
        <v>27</v>
      </c>
      <c r="G29" t="s">
        <v>15</v>
      </c>
      <c r="H29" s="10">
        <v>1950</v>
      </c>
      <c r="I29">
        <v>2</v>
      </c>
      <c r="J29" t="s">
        <v>16</v>
      </c>
      <c r="K29" t="s">
        <v>22</v>
      </c>
      <c r="L29">
        <v>4.5</v>
      </c>
    </row>
    <row r="30" spans="1:12" x14ac:dyDescent="0.3">
      <c r="A30">
        <v>1029</v>
      </c>
      <c r="B30" s="2">
        <v>45736</v>
      </c>
      <c r="C30" t="s">
        <v>18</v>
      </c>
      <c r="D30" t="s">
        <v>26</v>
      </c>
      <c r="E30" t="s">
        <v>39</v>
      </c>
      <c r="F30">
        <v>36</v>
      </c>
      <c r="G30" t="s">
        <v>28</v>
      </c>
      <c r="H30" s="10">
        <v>3100</v>
      </c>
      <c r="I30">
        <v>2</v>
      </c>
      <c r="J30" t="s">
        <v>16</v>
      </c>
      <c r="K30" t="s">
        <v>17</v>
      </c>
      <c r="L30">
        <v>4.5999999999999996</v>
      </c>
    </row>
    <row r="31" spans="1:12" x14ac:dyDescent="0.3">
      <c r="A31">
        <v>1030</v>
      </c>
      <c r="B31" s="2">
        <v>45739</v>
      </c>
      <c r="C31" t="s">
        <v>23</v>
      </c>
      <c r="D31" t="s">
        <v>13</v>
      </c>
      <c r="E31" t="s">
        <v>40</v>
      </c>
      <c r="F31">
        <v>34</v>
      </c>
      <c r="G31" t="s">
        <v>15</v>
      </c>
      <c r="H31" s="10">
        <v>1350</v>
      </c>
      <c r="I31">
        <v>2</v>
      </c>
      <c r="J31" t="s">
        <v>21</v>
      </c>
      <c r="K31" t="s">
        <v>22</v>
      </c>
      <c r="L31">
        <v>4.4000000000000004</v>
      </c>
    </row>
    <row r="32" spans="1:12" x14ac:dyDescent="0.3">
      <c r="A32">
        <v>1031</v>
      </c>
      <c r="B32" s="2">
        <v>45749</v>
      </c>
      <c r="C32" t="s">
        <v>12</v>
      </c>
      <c r="D32" t="s">
        <v>13</v>
      </c>
      <c r="E32" t="s">
        <v>14</v>
      </c>
      <c r="F32">
        <v>24</v>
      </c>
      <c r="G32" t="s">
        <v>15</v>
      </c>
      <c r="H32" s="10">
        <v>2600</v>
      </c>
      <c r="I32">
        <v>3</v>
      </c>
      <c r="J32" t="s">
        <v>16</v>
      </c>
      <c r="K32" t="s">
        <v>17</v>
      </c>
      <c r="L32">
        <v>4.9000000000000004</v>
      </c>
    </row>
    <row r="33" spans="1:12" x14ac:dyDescent="0.3">
      <c r="A33">
        <v>1032</v>
      </c>
      <c r="B33" s="2">
        <v>45751</v>
      </c>
      <c r="C33" t="s">
        <v>18</v>
      </c>
      <c r="D33" t="s">
        <v>19</v>
      </c>
      <c r="E33" t="s">
        <v>20</v>
      </c>
      <c r="F33">
        <v>29</v>
      </c>
      <c r="G33" t="s">
        <v>15</v>
      </c>
      <c r="H33" s="10">
        <v>1250</v>
      </c>
      <c r="I33">
        <v>2</v>
      </c>
      <c r="J33" t="s">
        <v>21</v>
      </c>
      <c r="K33" t="s">
        <v>22</v>
      </c>
      <c r="L33">
        <v>4</v>
      </c>
    </row>
    <row r="34" spans="1:12" x14ac:dyDescent="0.3">
      <c r="A34">
        <v>1033</v>
      </c>
      <c r="B34" s="2">
        <v>45753</v>
      </c>
      <c r="C34" t="s">
        <v>23</v>
      </c>
      <c r="D34" t="s">
        <v>24</v>
      </c>
      <c r="E34" t="s">
        <v>25</v>
      </c>
      <c r="F34">
        <v>25</v>
      </c>
      <c r="G34" t="s">
        <v>15</v>
      </c>
      <c r="H34" s="10">
        <v>1750</v>
      </c>
      <c r="I34">
        <v>3</v>
      </c>
      <c r="J34" t="s">
        <v>16</v>
      </c>
      <c r="K34" t="s">
        <v>17</v>
      </c>
      <c r="L34">
        <v>4.5999999999999996</v>
      </c>
    </row>
    <row r="35" spans="1:12" x14ac:dyDescent="0.3">
      <c r="A35">
        <v>1034</v>
      </c>
      <c r="B35" s="2">
        <v>45755</v>
      </c>
      <c r="C35" t="s">
        <v>12</v>
      </c>
      <c r="D35" t="s">
        <v>26</v>
      </c>
      <c r="E35" t="s">
        <v>27</v>
      </c>
      <c r="F35">
        <v>43</v>
      </c>
      <c r="G35" t="s">
        <v>28</v>
      </c>
      <c r="H35" s="10">
        <v>2900</v>
      </c>
      <c r="I35">
        <v>2</v>
      </c>
      <c r="J35" t="s">
        <v>16</v>
      </c>
      <c r="K35" t="s">
        <v>22</v>
      </c>
      <c r="L35">
        <v>4.7</v>
      </c>
    </row>
    <row r="36" spans="1:12" x14ac:dyDescent="0.3">
      <c r="A36">
        <v>1035</v>
      </c>
      <c r="B36" s="2">
        <v>45757</v>
      </c>
      <c r="C36" t="s">
        <v>29</v>
      </c>
      <c r="D36" t="s">
        <v>30</v>
      </c>
      <c r="E36" t="s">
        <v>31</v>
      </c>
      <c r="F36">
        <v>31</v>
      </c>
      <c r="G36" t="s">
        <v>15</v>
      </c>
      <c r="H36" s="10">
        <v>3500</v>
      </c>
      <c r="I36">
        <v>2</v>
      </c>
      <c r="J36" t="s">
        <v>16</v>
      </c>
      <c r="K36" t="s">
        <v>32</v>
      </c>
      <c r="L36">
        <v>4.9000000000000004</v>
      </c>
    </row>
    <row r="37" spans="1:12" x14ac:dyDescent="0.3">
      <c r="A37">
        <v>1036</v>
      </c>
      <c r="B37" s="2">
        <v>45759</v>
      </c>
      <c r="C37" t="s">
        <v>33</v>
      </c>
      <c r="D37" t="s">
        <v>13</v>
      </c>
      <c r="E37" t="s">
        <v>34</v>
      </c>
      <c r="F37">
        <v>22</v>
      </c>
      <c r="G37" t="s">
        <v>15</v>
      </c>
      <c r="H37" s="10">
        <v>720</v>
      </c>
      <c r="I37">
        <v>2</v>
      </c>
      <c r="J37" t="s">
        <v>21</v>
      </c>
      <c r="K37" t="s">
        <v>37</v>
      </c>
      <c r="L37">
        <v>3.9</v>
      </c>
    </row>
    <row r="38" spans="1:12" x14ac:dyDescent="0.3">
      <c r="A38">
        <v>1037</v>
      </c>
      <c r="B38" s="2">
        <v>45762</v>
      </c>
      <c r="C38" t="s">
        <v>35</v>
      </c>
      <c r="D38" t="s">
        <v>19</v>
      </c>
      <c r="E38" t="s">
        <v>36</v>
      </c>
      <c r="F38">
        <v>37</v>
      </c>
      <c r="G38" t="s">
        <v>28</v>
      </c>
      <c r="H38" s="10">
        <v>980</v>
      </c>
      <c r="I38">
        <v>2</v>
      </c>
      <c r="J38" t="s">
        <v>16</v>
      </c>
      <c r="K38" t="s">
        <v>17</v>
      </c>
      <c r="L38">
        <v>4.0999999999999996</v>
      </c>
    </row>
    <row r="39" spans="1:12" x14ac:dyDescent="0.3">
      <c r="A39">
        <v>1038</v>
      </c>
      <c r="B39" s="2">
        <v>45765</v>
      </c>
      <c r="C39" t="s">
        <v>12</v>
      </c>
      <c r="D39" t="s">
        <v>24</v>
      </c>
      <c r="E39" t="s">
        <v>38</v>
      </c>
      <c r="F39">
        <v>28</v>
      </c>
      <c r="G39" t="s">
        <v>15</v>
      </c>
      <c r="H39" s="10">
        <v>2400</v>
      </c>
      <c r="I39">
        <v>2</v>
      </c>
      <c r="J39" t="s">
        <v>16</v>
      </c>
      <c r="K39" t="s">
        <v>22</v>
      </c>
      <c r="L39">
        <v>4.8</v>
      </c>
    </row>
    <row r="40" spans="1:12" x14ac:dyDescent="0.3">
      <c r="A40">
        <v>1039</v>
      </c>
      <c r="B40" s="2">
        <v>45768</v>
      </c>
      <c r="C40" t="s">
        <v>18</v>
      </c>
      <c r="D40" t="s">
        <v>26</v>
      </c>
      <c r="E40" t="s">
        <v>39</v>
      </c>
      <c r="F40">
        <v>35</v>
      </c>
      <c r="G40" t="s">
        <v>28</v>
      </c>
      <c r="H40" s="10">
        <v>3300</v>
      </c>
      <c r="I40">
        <v>1</v>
      </c>
      <c r="J40" t="s">
        <v>16</v>
      </c>
      <c r="K40" t="s">
        <v>17</v>
      </c>
      <c r="L40">
        <v>4.5</v>
      </c>
    </row>
    <row r="41" spans="1:12" x14ac:dyDescent="0.3">
      <c r="A41">
        <v>1040</v>
      </c>
      <c r="B41" s="2">
        <v>45772</v>
      </c>
      <c r="C41" t="s">
        <v>23</v>
      </c>
      <c r="D41" t="s">
        <v>13</v>
      </c>
      <c r="E41" t="s">
        <v>40</v>
      </c>
      <c r="F41">
        <v>40</v>
      </c>
      <c r="G41" t="s">
        <v>15</v>
      </c>
      <c r="H41" s="10">
        <v>1450</v>
      </c>
      <c r="I41">
        <v>2</v>
      </c>
      <c r="J41" t="s">
        <v>21</v>
      </c>
      <c r="K41" t="s">
        <v>22</v>
      </c>
      <c r="L41">
        <v>4.3</v>
      </c>
    </row>
    <row r="42" spans="1:12" x14ac:dyDescent="0.3">
      <c r="A42">
        <v>1041</v>
      </c>
      <c r="B42" s="2">
        <v>45779</v>
      </c>
      <c r="C42" t="s">
        <v>12</v>
      </c>
      <c r="D42" t="s">
        <v>13</v>
      </c>
      <c r="E42" t="s">
        <v>14</v>
      </c>
      <c r="F42">
        <v>27</v>
      </c>
      <c r="G42" t="s">
        <v>15</v>
      </c>
      <c r="H42" s="10">
        <v>2800</v>
      </c>
      <c r="I42">
        <v>3</v>
      </c>
      <c r="J42" t="s">
        <v>16</v>
      </c>
      <c r="K42" t="s">
        <v>17</v>
      </c>
      <c r="L42">
        <v>4.8</v>
      </c>
    </row>
    <row r="43" spans="1:12" x14ac:dyDescent="0.3">
      <c r="A43">
        <v>1042</v>
      </c>
      <c r="B43" s="2">
        <v>45781</v>
      </c>
      <c r="C43" t="s">
        <v>18</v>
      </c>
      <c r="D43" t="s">
        <v>19</v>
      </c>
      <c r="E43" t="s">
        <v>20</v>
      </c>
      <c r="F43">
        <v>33</v>
      </c>
      <c r="G43" t="s">
        <v>15</v>
      </c>
      <c r="H43" s="10">
        <v>1100</v>
      </c>
      <c r="I43">
        <v>2</v>
      </c>
      <c r="J43" t="s">
        <v>21</v>
      </c>
      <c r="K43" t="s">
        <v>22</v>
      </c>
      <c r="L43">
        <v>4.2</v>
      </c>
    </row>
    <row r="44" spans="1:12" x14ac:dyDescent="0.3">
      <c r="A44">
        <v>1043</v>
      </c>
      <c r="B44" s="2">
        <v>45783</v>
      </c>
      <c r="C44" t="s">
        <v>23</v>
      </c>
      <c r="D44" t="s">
        <v>24</v>
      </c>
      <c r="E44" t="s">
        <v>25</v>
      </c>
      <c r="F44">
        <v>24</v>
      </c>
      <c r="G44" t="s">
        <v>15</v>
      </c>
      <c r="H44" s="10">
        <v>1900</v>
      </c>
      <c r="I44">
        <v>3</v>
      </c>
      <c r="J44" t="s">
        <v>16</v>
      </c>
      <c r="K44" t="s">
        <v>17</v>
      </c>
      <c r="L44">
        <v>4.7</v>
      </c>
    </row>
    <row r="45" spans="1:12" x14ac:dyDescent="0.3">
      <c r="A45">
        <v>1044</v>
      </c>
      <c r="B45" s="2">
        <v>45785</v>
      </c>
      <c r="C45" t="s">
        <v>12</v>
      </c>
      <c r="D45" t="s">
        <v>26</v>
      </c>
      <c r="E45" t="s">
        <v>27</v>
      </c>
      <c r="F45">
        <v>39</v>
      </c>
      <c r="G45" t="s">
        <v>28</v>
      </c>
      <c r="H45" s="10">
        <v>3150</v>
      </c>
      <c r="I45">
        <v>2</v>
      </c>
      <c r="J45" t="s">
        <v>16</v>
      </c>
      <c r="K45" t="s">
        <v>22</v>
      </c>
      <c r="L45">
        <v>4.5999999999999996</v>
      </c>
    </row>
    <row r="46" spans="1:12" x14ac:dyDescent="0.3">
      <c r="A46">
        <v>1045</v>
      </c>
      <c r="B46" s="2">
        <v>45787</v>
      </c>
      <c r="C46" t="s">
        <v>29</v>
      </c>
      <c r="D46" t="s">
        <v>30</v>
      </c>
      <c r="E46" t="s">
        <v>31</v>
      </c>
      <c r="F46">
        <v>29</v>
      </c>
      <c r="G46" t="s">
        <v>15</v>
      </c>
      <c r="H46" s="10">
        <v>2900</v>
      </c>
      <c r="I46">
        <v>2</v>
      </c>
      <c r="J46" t="s">
        <v>16</v>
      </c>
      <c r="K46" t="s">
        <v>32</v>
      </c>
      <c r="L46">
        <v>4.8</v>
      </c>
    </row>
    <row r="47" spans="1:12" x14ac:dyDescent="0.3">
      <c r="A47">
        <v>1046</v>
      </c>
      <c r="B47" s="2">
        <v>45790</v>
      </c>
      <c r="C47" t="s">
        <v>33</v>
      </c>
      <c r="D47" t="s">
        <v>13</v>
      </c>
      <c r="E47" t="s">
        <v>34</v>
      </c>
      <c r="F47">
        <v>21</v>
      </c>
      <c r="G47" t="s">
        <v>15</v>
      </c>
      <c r="H47" s="10">
        <v>600</v>
      </c>
      <c r="I47">
        <v>1</v>
      </c>
      <c r="J47" t="s">
        <v>21</v>
      </c>
      <c r="K47" t="s">
        <v>37</v>
      </c>
      <c r="L47">
        <v>3.7</v>
      </c>
    </row>
    <row r="48" spans="1:12" x14ac:dyDescent="0.3">
      <c r="A48">
        <v>1047</v>
      </c>
      <c r="B48" s="2">
        <v>45793</v>
      </c>
      <c r="C48" t="s">
        <v>35</v>
      </c>
      <c r="D48" t="s">
        <v>19</v>
      </c>
      <c r="E48" t="s">
        <v>36</v>
      </c>
      <c r="F48">
        <v>44</v>
      </c>
      <c r="G48" t="s">
        <v>28</v>
      </c>
      <c r="H48" s="10">
        <v>1250</v>
      </c>
      <c r="I48">
        <v>2</v>
      </c>
      <c r="J48" t="s">
        <v>21</v>
      </c>
      <c r="K48" t="s">
        <v>17</v>
      </c>
      <c r="L48">
        <v>4</v>
      </c>
    </row>
    <row r="49" spans="1:12" x14ac:dyDescent="0.3">
      <c r="A49">
        <v>1048</v>
      </c>
      <c r="B49" s="2">
        <v>45796</v>
      </c>
      <c r="C49" t="s">
        <v>12</v>
      </c>
      <c r="D49" t="s">
        <v>24</v>
      </c>
      <c r="E49" t="s">
        <v>38</v>
      </c>
      <c r="F49">
        <v>30</v>
      </c>
      <c r="G49" t="s">
        <v>15</v>
      </c>
      <c r="H49" s="10">
        <v>2550</v>
      </c>
      <c r="I49">
        <v>2</v>
      </c>
      <c r="J49" t="s">
        <v>16</v>
      </c>
      <c r="K49" t="s">
        <v>22</v>
      </c>
      <c r="L49">
        <v>4.9000000000000004</v>
      </c>
    </row>
    <row r="50" spans="1:12" x14ac:dyDescent="0.3">
      <c r="A50">
        <v>1049</v>
      </c>
      <c r="B50" s="2">
        <v>45799</v>
      </c>
      <c r="C50" t="s">
        <v>18</v>
      </c>
      <c r="D50" t="s">
        <v>26</v>
      </c>
      <c r="E50" t="s">
        <v>39</v>
      </c>
      <c r="F50">
        <v>32</v>
      </c>
      <c r="G50" t="s">
        <v>28</v>
      </c>
      <c r="H50" s="10">
        <v>2850</v>
      </c>
      <c r="I50">
        <v>1</v>
      </c>
      <c r="J50" t="s">
        <v>16</v>
      </c>
      <c r="K50" t="s">
        <v>17</v>
      </c>
      <c r="L50">
        <v>4.4000000000000004</v>
      </c>
    </row>
    <row r="51" spans="1:12" x14ac:dyDescent="0.3">
      <c r="A51">
        <v>1050</v>
      </c>
      <c r="B51" s="2">
        <v>45802</v>
      </c>
      <c r="C51" t="s">
        <v>23</v>
      </c>
      <c r="D51" t="s">
        <v>13</v>
      </c>
      <c r="E51" t="s">
        <v>40</v>
      </c>
      <c r="F51">
        <v>36</v>
      </c>
      <c r="G51" t="s">
        <v>15</v>
      </c>
      <c r="H51" s="10">
        <v>1300</v>
      </c>
      <c r="I51">
        <v>2</v>
      </c>
      <c r="J51" t="s">
        <v>21</v>
      </c>
      <c r="K51" t="s">
        <v>22</v>
      </c>
      <c r="L51">
        <v>4.2</v>
      </c>
    </row>
    <row r="52" spans="1:12" x14ac:dyDescent="0.3">
      <c r="A52">
        <v>1051</v>
      </c>
      <c r="B52" s="2">
        <v>45809</v>
      </c>
      <c r="C52" t="s">
        <v>12</v>
      </c>
      <c r="D52" t="s">
        <v>13</v>
      </c>
      <c r="E52" t="s">
        <v>14</v>
      </c>
      <c r="F52">
        <v>23</v>
      </c>
      <c r="G52" t="s">
        <v>15</v>
      </c>
      <c r="H52" s="10">
        <v>2250</v>
      </c>
      <c r="I52">
        <v>2</v>
      </c>
      <c r="J52" t="s">
        <v>16</v>
      </c>
      <c r="K52" t="s">
        <v>17</v>
      </c>
      <c r="L52">
        <v>4.7</v>
      </c>
    </row>
    <row r="53" spans="1:12" x14ac:dyDescent="0.3">
      <c r="A53">
        <v>1052</v>
      </c>
      <c r="B53" s="2">
        <v>45811</v>
      </c>
      <c r="C53" t="s">
        <v>18</v>
      </c>
      <c r="D53" t="s">
        <v>19</v>
      </c>
      <c r="E53" t="s">
        <v>20</v>
      </c>
      <c r="F53">
        <v>35</v>
      </c>
      <c r="G53" t="s">
        <v>15</v>
      </c>
      <c r="H53" s="10">
        <v>1050</v>
      </c>
      <c r="I53">
        <v>2</v>
      </c>
      <c r="J53" t="s">
        <v>21</v>
      </c>
      <c r="K53" t="s">
        <v>22</v>
      </c>
      <c r="L53">
        <v>4.0999999999999996</v>
      </c>
    </row>
    <row r="54" spans="1:12" x14ac:dyDescent="0.3">
      <c r="A54">
        <v>1053</v>
      </c>
      <c r="B54" s="2">
        <v>45813</v>
      </c>
      <c r="C54" t="s">
        <v>23</v>
      </c>
      <c r="D54" t="s">
        <v>24</v>
      </c>
      <c r="E54" t="s">
        <v>25</v>
      </c>
      <c r="F54">
        <v>26</v>
      </c>
      <c r="G54" t="s">
        <v>15</v>
      </c>
      <c r="H54" s="10">
        <v>2100</v>
      </c>
      <c r="I54">
        <v>3</v>
      </c>
      <c r="J54" t="s">
        <v>16</v>
      </c>
      <c r="K54" t="s">
        <v>17</v>
      </c>
      <c r="L54">
        <v>4.8</v>
      </c>
    </row>
    <row r="55" spans="1:12" x14ac:dyDescent="0.3">
      <c r="A55">
        <v>1054</v>
      </c>
      <c r="B55" s="2">
        <v>45815</v>
      </c>
      <c r="C55" t="s">
        <v>12</v>
      </c>
      <c r="D55" t="s">
        <v>26</v>
      </c>
      <c r="E55" t="s">
        <v>27</v>
      </c>
      <c r="F55">
        <v>41</v>
      </c>
      <c r="G55" t="s">
        <v>28</v>
      </c>
      <c r="H55" s="10">
        <v>2750</v>
      </c>
      <c r="I55">
        <v>2</v>
      </c>
      <c r="J55" t="s">
        <v>16</v>
      </c>
      <c r="K55" t="s">
        <v>22</v>
      </c>
      <c r="L55">
        <v>4.5</v>
      </c>
    </row>
    <row r="56" spans="1:12" x14ac:dyDescent="0.3">
      <c r="A56">
        <v>1055</v>
      </c>
      <c r="B56" s="2">
        <v>45817</v>
      </c>
      <c r="C56" t="s">
        <v>29</v>
      </c>
      <c r="D56" t="s">
        <v>30</v>
      </c>
      <c r="E56" t="s">
        <v>31</v>
      </c>
      <c r="F56">
        <v>34</v>
      </c>
      <c r="G56" t="s">
        <v>15</v>
      </c>
      <c r="H56" s="10">
        <v>3800</v>
      </c>
      <c r="I56">
        <v>2</v>
      </c>
      <c r="J56" t="s">
        <v>16</v>
      </c>
      <c r="K56" t="s">
        <v>32</v>
      </c>
      <c r="L56">
        <v>4.9000000000000004</v>
      </c>
    </row>
    <row r="57" spans="1:12" x14ac:dyDescent="0.3">
      <c r="A57">
        <v>1056</v>
      </c>
      <c r="B57" s="2">
        <v>45820</v>
      </c>
      <c r="C57" t="s">
        <v>33</v>
      </c>
      <c r="D57" t="s">
        <v>13</v>
      </c>
      <c r="E57" t="s">
        <v>34</v>
      </c>
      <c r="F57">
        <v>20</v>
      </c>
      <c r="G57" t="s">
        <v>15</v>
      </c>
      <c r="H57" s="10">
        <v>650</v>
      </c>
      <c r="I57">
        <v>2</v>
      </c>
      <c r="J57" t="s">
        <v>21</v>
      </c>
      <c r="K57" t="s">
        <v>37</v>
      </c>
      <c r="L57">
        <v>3.8</v>
      </c>
    </row>
    <row r="58" spans="1:12" x14ac:dyDescent="0.3">
      <c r="A58">
        <v>1057</v>
      </c>
      <c r="B58" s="2">
        <v>45823</v>
      </c>
      <c r="C58" t="s">
        <v>35</v>
      </c>
      <c r="D58" t="s">
        <v>19</v>
      </c>
      <c r="E58" t="s">
        <v>36</v>
      </c>
      <c r="F58">
        <v>39</v>
      </c>
      <c r="G58" t="s">
        <v>28</v>
      </c>
      <c r="H58" s="10">
        <v>1180</v>
      </c>
      <c r="I58">
        <v>2</v>
      </c>
      <c r="J58" t="s">
        <v>16</v>
      </c>
      <c r="K58" t="s">
        <v>17</v>
      </c>
      <c r="L58">
        <v>4.2</v>
      </c>
    </row>
    <row r="59" spans="1:12" x14ac:dyDescent="0.3">
      <c r="A59">
        <v>1058</v>
      </c>
      <c r="B59" s="2">
        <v>45826</v>
      </c>
      <c r="C59" t="s">
        <v>12</v>
      </c>
      <c r="D59" t="s">
        <v>24</v>
      </c>
      <c r="E59" t="s">
        <v>38</v>
      </c>
      <c r="F59">
        <v>27</v>
      </c>
      <c r="G59" t="s">
        <v>15</v>
      </c>
      <c r="H59" s="10">
        <v>2200</v>
      </c>
      <c r="I59">
        <v>2</v>
      </c>
      <c r="J59" t="s">
        <v>16</v>
      </c>
      <c r="K59" t="s">
        <v>22</v>
      </c>
      <c r="L59">
        <v>4.5999999999999996</v>
      </c>
    </row>
    <row r="60" spans="1:12" x14ac:dyDescent="0.3">
      <c r="A60">
        <v>1059</v>
      </c>
      <c r="B60" s="2">
        <v>45829</v>
      </c>
      <c r="C60" t="s">
        <v>18</v>
      </c>
      <c r="D60" t="s">
        <v>26</v>
      </c>
      <c r="E60" t="s">
        <v>39</v>
      </c>
      <c r="F60">
        <v>37</v>
      </c>
      <c r="G60" t="s">
        <v>28</v>
      </c>
      <c r="H60" s="10">
        <v>3050</v>
      </c>
      <c r="I60">
        <v>1</v>
      </c>
      <c r="J60" t="s">
        <v>16</v>
      </c>
      <c r="K60" t="s">
        <v>17</v>
      </c>
      <c r="L60">
        <v>4.7</v>
      </c>
    </row>
    <row r="61" spans="1:12" x14ac:dyDescent="0.3">
      <c r="A61">
        <v>1060</v>
      </c>
      <c r="B61" s="2">
        <v>45832</v>
      </c>
      <c r="C61" t="s">
        <v>23</v>
      </c>
      <c r="D61" t="s">
        <v>13</v>
      </c>
      <c r="E61" t="s">
        <v>40</v>
      </c>
      <c r="F61">
        <v>31</v>
      </c>
      <c r="G61" t="s">
        <v>15</v>
      </c>
      <c r="H61" s="10">
        <v>1400</v>
      </c>
      <c r="I61">
        <v>2</v>
      </c>
      <c r="J61" t="s">
        <v>21</v>
      </c>
      <c r="K61" t="s">
        <v>22</v>
      </c>
      <c r="L61">
        <v>4.4000000000000004</v>
      </c>
    </row>
    <row r="62" spans="1:12" x14ac:dyDescent="0.3">
      <c r="A62">
        <v>1061</v>
      </c>
      <c r="B62" s="2">
        <v>45840</v>
      </c>
      <c r="C62" t="s">
        <v>12</v>
      </c>
      <c r="D62" t="s">
        <v>13</v>
      </c>
      <c r="E62" t="s">
        <v>14</v>
      </c>
      <c r="F62">
        <v>25</v>
      </c>
      <c r="G62" t="s">
        <v>15</v>
      </c>
      <c r="H62" s="10">
        <v>2950</v>
      </c>
      <c r="I62">
        <v>3</v>
      </c>
      <c r="J62" t="s">
        <v>16</v>
      </c>
      <c r="K62" t="s">
        <v>17</v>
      </c>
      <c r="L62">
        <v>4.9000000000000004</v>
      </c>
    </row>
    <row r="63" spans="1:12" x14ac:dyDescent="0.3">
      <c r="A63">
        <v>1062</v>
      </c>
      <c r="B63" s="2">
        <v>45842</v>
      </c>
      <c r="C63" t="s">
        <v>18</v>
      </c>
      <c r="D63" t="s">
        <v>19</v>
      </c>
      <c r="E63" t="s">
        <v>20</v>
      </c>
      <c r="F63">
        <v>28</v>
      </c>
      <c r="G63" t="s">
        <v>15</v>
      </c>
      <c r="H63" s="10">
        <v>1350</v>
      </c>
      <c r="I63">
        <v>2</v>
      </c>
      <c r="J63" t="s">
        <v>21</v>
      </c>
      <c r="K63" t="s">
        <v>22</v>
      </c>
      <c r="L63">
        <v>4.3</v>
      </c>
    </row>
    <row r="64" spans="1:12" x14ac:dyDescent="0.3">
      <c r="A64">
        <v>1063</v>
      </c>
      <c r="B64" s="2">
        <v>45844</v>
      </c>
      <c r="C64" t="s">
        <v>23</v>
      </c>
      <c r="D64" t="s">
        <v>24</v>
      </c>
      <c r="E64" t="s">
        <v>25</v>
      </c>
      <c r="F64">
        <v>29</v>
      </c>
      <c r="G64" t="s">
        <v>15</v>
      </c>
      <c r="H64" s="10">
        <v>2300</v>
      </c>
      <c r="I64">
        <v>3</v>
      </c>
      <c r="J64" t="s">
        <v>16</v>
      </c>
      <c r="K64" t="s">
        <v>17</v>
      </c>
      <c r="L64">
        <v>4.8</v>
      </c>
    </row>
    <row r="65" spans="1:12" x14ac:dyDescent="0.3">
      <c r="A65">
        <v>1064</v>
      </c>
      <c r="B65" s="2">
        <v>45846</v>
      </c>
      <c r="C65" t="s">
        <v>12</v>
      </c>
      <c r="D65" t="s">
        <v>26</v>
      </c>
      <c r="E65" t="s">
        <v>27</v>
      </c>
      <c r="F65">
        <v>45</v>
      </c>
      <c r="G65" t="s">
        <v>28</v>
      </c>
      <c r="H65" s="10">
        <v>3400</v>
      </c>
      <c r="I65">
        <v>2</v>
      </c>
      <c r="J65" t="s">
        <v>16</v>
      </c>
      <c r="K65" t="s">
        <v>22</v>
      </c>
      <c r="L65">
        <v>4.7</v>
      </c>
    </row>
    <row r="66" spans="1:12" x14ac:dyDescent="0.3">
      <c r="A66">
        <v>1065</v>
      </c>
      <c r="B66" s="2">
        <v>45848</v>
      </c>
      <c r="C66" t="s">
        <v>29</v>
      </c>
      <c r="D66" t="s">
        <v>30</v>
      </c>
      <c r="E66" t="s">
        <v>31</v>
      </c>
      <c r="F66">
        <v>32</v>
      </c>
      <c r="G66" t="s">
        <v>15</v>
      </c>
      <c r="H66" s="10">
        <v>4200</v>
      </c>
      <c r="I66">
        <v>3</v>
      </c>
      <c r="J66" t="s">
        <v>16</v>
      </c>
      <c r="K66" t="s">
        <v>32</v>
      </c>
      <c r="L66">
        <v>5</v>
      </c>
    </row>
    <row r="67" spans="1:12" x14ac:dyDescent="0.3">
      <c r="A67">
        <v>1066</v>
      </c>
      <c r="B67" s="2">
        <v>45851</v>
      </c>
      <c r="C67" t="s">
        <v>33</v>
      </c>
      <c r="D67" t="s">
        <v>13</v>
      </c>
      <c r="E67" t="s">
        <v>34</v>
      </c>
      <c r="F67">
        <v>24</v>
      </c>
      <c r="G67" t="s">
        <v>15</v>
      </c>
      <c r="H67" s="10">
        <v>750</v>
      </c>
      <c r="I67">
        <v>2</v>
      </c>
      <c r="J67" t="s">
        <v>21</v>
      </c>
      <c r="K67" t="s">
        <v>37</v>
      </c>
      <c r="L67">
        <v>4</v>
      </c>
    </row>
    <row r="68" spans="1:12" x14ac:dyDescent="0.3">
      <c r="A68">
        <v>1067</v>
      </c>
      <c r="B68" s="2">
        <v>45854</v>
      </c>
      <c r="C68" t="s">
        <v>35</v>
      </c>
      <c r="D68" t="s">
        <v>19</v>
      </c>
      <c r="E68" t="s">
        <v>36</v>
      </c>
      <c r="F68">
        <v>42</v>
      </c>
      <c r="G68" t="s">
        <v>28</v>
      </c>
      <c r="H68" s="10">
        <v>1280</v>
      </c>
      <c r="I68">
        <v>2</v>
      </c>
      <c r="J68" t="s">
        <v>16</v>
      </c>
      <c r="K68" t="s">
        <v>17</v>
      </c>
      <c r="L68">
        <v>4.0999999999999996</v>
      </c>
    </row>
    <row r="69" spans="1:12" x14ac:dyDescent="0.3">
      <c r="A69">
        <v>1068</v>
      </c>
      <c r="B69" s="2">
        <v>45857</v>
      </c>
      <c r="C69" t="s">
        <v>12</v>
      </c>
      <c r="D69" t="s">
        <v>24</v>
      </c>
      <c r="E69" t="s">
        <v>38</v>
      </c>
      <c r="F69">
        <v>26</v>
      </c>
      <c r="G69" t="s">
        <v>15</v>
      </c>
      <c r="H69" s="10">
        <v>2700</v>
      </c>
      <c r="I69">
        <v>2</v>
      </c>
      <c r="J69" t="s">
        <v>16</v>
      </c>
      <c r="K69" t="s">
        <v>22</v>
      </c>
      <c r="L69">
        <v>4.9000000000000004</v>
      </c>
    </row>
    <row r="70" spans="1:12" x14ac:dyDescent="0.3">
      <c r="A70">
        <v>1069</v>
      </c>
      <c r="B70" s="2">
        <v>45860</v>
      </c>
      <c r="C70" t="s">
        <v>18</v>
      </c>
      <c r="D70" t="s">
        <v>26</v>
      </c>
      <c r="E70" t="s">
        <v>39</v>
      </c>
      <c r="F70">
        <v>34</v>
      </c>
      <c r="G70" t="s">
        <v>28</v>
      </c>
      <c r="H70" s="10">
        <v>3600</v>
      </c>
      <c r="I70">
        <v>2</v>
      </c>
      <c r="J70" t="s">
        <v>16</v>
      </c>
      <c r="K70" t="s">
        <v>17</v>
      </c>
      <c r="L70">
        <v>4.5999999999999996</v>
      </c>
    </row>
    <row r="71" spans="1:12" x14ac:dyDescent="0.3">
      <c r="A71">
        <v>1070</v>
      </c>
      <c r="B71" s="2">
        <v>45863</v>
      </c>
      <c r="C71" t="s">
        <v>23</v>
      </c>
      <c r="D71" t="s">
        <v>13</v>
      </c>
      <c r="E71" t="s">
        <v>40</v>
      </c>
      <c r="F71">
        <v>38</v>
      </c>
      <c r="G71" t="s">
        <v>15</v>
      </c>
      <c r="H71" s="10">
        <v>1550</v>
      </c>
      <c r="I71">
        <v>2</v>
      </c>
      <c r="J71" t="s">
        <v>21</v>
      </c>
      <c r="K71" t="s">
        <v>22</v>
      </c>
      <c r="L71">
        <v>4.5</v>
      </c>
    </row>
    <row r="72" spans="1:12" x14ac:dyDescent="0.3">
      <c r="A72">
        <v>1071</v>
      </c>
      <c r="B72" s="2">
        <v>45870</v>
      </c>
      <c r="C72" t="s">
        <v>12</v>
      </c>
      <c r="D72" t="s">
        <v>13</v>
      </c>
      <c r="E72" t="s">
        <v>14</v>
      </c>
      <c r="F72">
        <v>28</v>
      </c>
      <c r="G72" t="s">
        <v>15</v>
      </c>
      <c r="H72" s="10">
        <v>3100</v>
      </c>
      <c r="I72">
        <v>3</v>
      </c>
      <c r="J72" t="s">
        <v>16</v>
      </c>
      <c r="K72" t="s">
        <v>17</v>
      </c>
      <c r="L72">
        <v>4.9000000000000004</v>
      </c>
    </row>
    <row r="73" spans="1:12" x14ac:dyDescent="0.3">
      <c r="A73">
        <v>1072</v>
      </c>
      <c r="B73" s="2">
        <v>45872</v>
      </c>
      <c r="C73" t="s">
        <v>18</v>
      </c>
      <c r="D73" t="s">
        <v>19</v>
      </c>
      <c r="E73" t="s">
        <v>20</v>
      </c>
      <c r="F73">
        <v>31</v>
      </c>
      <c r="G73" t="s">
        <v>15</v>
      </c>
      <c r="H73" s="10">
        <v>1450</v>
      </c>
      <c r="I73">
        <v>2</v>
      </c>
      <c r="J73" t="s">
        <v>21</v>
      </c>
      <c r="K73" t="s">
        <v>22</v>
      </c>
      <c r="L73">
        <v>4.4000000000000004</v>
      </c>
    </row>
    <row r="74" spans="1:12" x14ac:dyDescent="0.3">
      <c r="A74">
        <v>1073</v>
      </c>
      <c r="B74" s="2">
        <v>45874</v>
      </c>
      <c r="C74" t="s">
        <v>23</v>
      </c>
      <c r="D74" t="s">
        <v>24</v>
      </c>
      <c r="E74" t="s">
        <v>25</v>
      </c>
      <c r="F74">
        <v>27</v>
      </c>
      <c r="G74" t="s">
        <v>15</v>
      </c>
      <c r="H74" s="10">
        <v>2450</v>
      </c>
      <c r="I74">
        <v>3</v>
      </c>
      <c r="J74" t="s">
        <v>16</v>
      </c>
      <c r="K74" t="s">
        <v>17</v>
      </c>
      <c r="L74">
        <v>4.8</v>
      </c>
    </row>
    <row r="75" spans="1:12" x14ac:dyDescent="0.3">
      <c r="A75">
        <v>1074</v>
      </c>
      <c r="B75" s="2">
        <v>45876</v>
      </c>
      <c r="C75" t="s">
        <v>12</v>
      </c>
      <c r="D75" t="s">
        <v>26</v>
      </c>
      <c r="E75" t="s">
        <v>27</v>
      </c>
      <c r="F75">
        <v>40</v>
      </c>
      <c r="G75" t="s">
        <v>28</v>
      </c>
      <c r="H75" s="10">
        <v>3250</v>
      </c>
      <c r="I75">
        <v>2</v>
      </c>
      <c r="J75" t="s">
        <v>16</v>
      </c>
      <c r="K75" t="s">
        <v>22</v>
      </c>
      <c r="L75">
        <v>4.7</v>
      </c>
    </row>
    <row r="76" spans="1:12" x14ac:dyDescent="0.3">
      <c r="A76">
        <v>1075</v>
      </c>
      <c r="B76" s="2">
        <v>45878</v>
      </c>
      <c r="C76" t="s">
        <v>29</v>
      </c>
      <c r="D76" t="s">
        <v>30</v>
      </c>
      <c r="E76" t="s">
        <v>31</v>
      </c>
      <c r="F76">
        <v>33</v>
      </c>
      <c r="G76" t="s">
        <v>15</v>
      </c>
      <c r="H76" s="10">
        <v>4500</v>
      </c>
      <c r="I76">
        <v>3</v>
      </c>
      <c r="J76" t="s">
        <v>16</v>
      </c>
      <c r="K76" t="s">
        <v>32</v>
      </c>
      <c r="L76">
        <v>5</v>
      </c>
    </row>
    <row r="77" spans="1:12" x14ac:dyDescent="0.3">
      <c r="A77">
        <v>1076</v>
      </c>
      <c r="B77" s="2">
        <v>45881</v>
      </c>
      <c r="C77" t="s">
        <v>33</v>
      </c>
      <c r="D77" t="s">
        <v>13</v>
      </c>
      <c r="E77" t="s">
        <v>34</v>
      </c>
      <c r="F77">
        <v>23</v>
      </c>
      <c r="G77" t="s">
        <v>15</v>
      </c>
      <c r="H77" s="10">
        <v>800</v>
      </c>
      <c r="I77">
        <v>2</v>
      </c>
      <c r="J77" t="s">
        <v>21</v>
      </c>
      <c r="K77" t="s">
        <v>37</v>
      </c>
      <c r="L77">
        <v>4.0999999999999996</v>
      </c>
    </row>
    <row r="78" spans="1:12" x14ac:dyDescent="0.3">
      <c r="A78">
        <v>1077</v>
      </c>
      <c r="B78" s="2">
        <v>45884</v>
      </c>
      <c r="C78" t="s">
        <v>35</v>
      </c>
      <c r="D78" t="s">
        <v>19</v>
      </c>
      <c r="E78" t="s">
        <v>36</v>
      </c>
      <c r="F78">
        <v>36</v>
      </c>
      <c r="G78" t="s">
        <v>28</v>
      </c>
      <c r="H78" s="10">
        <v>1320</v>
      </c>
      <c r="I78">
        <v>2</v>
      </c>
      <c r="J78" t="s">
        <v>16</v>
      </c>
      <c r="K78" t="s">
        <v>17</v>
      </c>
      <c r="L78">
        <v>4.3</v>
      </c>
    </row>
    <row r="79" spans="1:12" x14ac:dyDescent="0.3">
      <c r="A79">
        <v>1078</v>
      </c>
      <c r="B79" s="2">
        <v>45887</v>
      </c>
      <c r="C79" t="s">
        <v>12</v>
      </c>
      <c r="D79" t="s">
        <v>24</v>
      </c>
      <c r="E79" t="s">
        <v>38</v>
      </c>
      <c r="F79">
        <v>29</v>
      </c>
      <c r="G79" t="s">
        <v>15</v>
      </c>
      <c r="H79" s="10">
        <v>2900</v>
      </c>
      <c r="I79">
        <v>2</v>
      </c>
      <c r="J79" t="s">
        <v>16</v>
      </c>
      <c r="K79" t="s">
        <v>22</v>
      </c>
      <c r="L79">
        <v>4.9000000000000004</v>
      </c>
    </row>
    <row r="80" spans="1:12" x14ac:dyDescent="0.3">
      <c r="A80">
        <v>1079</v>
      </c>
      <c r="B80" s="2">
        <v>45890</v>
      </c>
      <c r="C80" t="s">
        <v>18</v>
      </c>
      <c r="D80" t="s">
        <v>26</v>
      </c>
      <c r="E80" t="s">
        <v>39</v>
      </c>
      <c r="F80">
        <v>39</v>
      </c>
      <c r="G80" t="s">
        <v>28</v>
      </c>
      <c r="H80" s="10">
        <v>3750</v>
      </c>
      <c r="I80">
        <v>2</v>
      </c>
      <c r="J80" t="s">
        <v>16</v>
      </c>
      <c r="K80" t="s">
        <v>17</v>
      </c>
      <c r="L80">
        <v>4.8</v>
      </c>
    </row>
    <row r="81" spans="1:12" x14ac:dyDescent="0.3">
      <c r="A81">
        <v>1080</v>
      </c>
      <c r="B81" s="2">
        <v>45893</v>
      </c>
      <c r="C81" t="s">
        <v>23</v>
      </c>
      <c r="D81" t="s">
        <v>13</v>
      </c>
      <c r="E81" t="s">
        <v>40</v>
      </c>
      <c r="F81">
        <v>35</v>
      </c>
      <c r="G81" t="s">
        <v>15</v>
      </c>
      <c r="H81" s="10">
        <v>1650</v>
      </c>
      <c r="I81">
        <v>2</v>
      </c>
      <c r="J81" t="s">
        <v>21</v>
      </c>
      <c r="K81" t="s">
        <v>22</v>
      </c>
      <c r="L81">
        <v>4.5</v>
      </c>
    </row>
    <row r="82" spans="1:12" x14ac:dyDescent="0.3">
      <c r="A82">
        <v>1081</v>
      </c>
      <c r="B82" s="2">
        <v>45902</v>
      </c>
      <c r="C82" t="s">
        <v>12</v>
      </c>
      <c r="D82" t="s">
        <v>13</v>
      </c>
      <c r="E82" t="s">
        <v>14</v>
      </c>
      <c r="F82">
        <v>26</v>
      </c>
      <c r="G82" t="s">
        <v>15</v>
      </c>
      <c r="H82" s="10">
        <v>3300</v>
      </c>
      <c r="I82">
        <v>3</v>
      </c>
      <c r="J82" t="s">
        <v>16</v>
      </c>
      <c r="K82" t="s">
        <v>17</v>
      </c>
      <c r="L82">
        <v>4.9000000000000004</v>
      </c>
    </row>
    <row r="83" spans="1:12" x14ac:dyDescent="0.3">
      <c r="A83">
        <v>1082</v>
      </c>
      <c r="B83" s="2">
        <v>45904</v>
      </c>
      <c r="C83" t="s">
        <v>18</v>
      </c>
      <c r="D83" t="s">
        <v>19</v>
      </c>
      <c r="E83" t="s">
        <v>20</v>
      </c>
      <c r="F83">
        <v>30</v>
      </c>
      <c r="G83" t="s">
        <v>15</v>
      </c>
      <c r="H83" s="10">
        <v>1500</v>
      </c>
      <c r="I83">
        <v>2</v>
      </c>
      <c r="J83" t="s">
        <v>21</v>
      </c>
      <c r="K83" t="s">
        <v>22</v>
      </c>
      <c r="L83">
        <v>4.3</v>
      </c>
    </row>
    <row r="84" spans="1:12" x14ac:dyDescent="0.3">
      <c r="A84">
        <v>1083</v>
      </c>
      <c r="B84" s="2">
        <v>45906</v>
      </c>
      <c r="C84" t="s">
        <v>23</v>
      </c>
      <c r="D84" t="s">
        <v>24</v>
      </c>
      <c r="E84" t="s">
        <v>25</v>
      </c>
      <c r="F84">
        <v>25</v>
      </c>
      <c r="G84" t="s">
        <v>15</v>
      </c>
      <c r="H84" s="10">
        <v>2550</v>
      </c>
      <c r="I84">
        <v>3</v>
      </c>
      <c r="J84" t="s">
        <v>16</v>
      </c>
      <c r="K84" t="s">
        <v>17</v>
      </c>
      <c r="L84">
        <v>4.8</v>
      </c>
    </row>
    <row r="85" spans="1:12" x14ac:dyDescent="0.3">
      <c r="A85">
        <v>1084</v>
      </c>
      <c r="B85" s="2">
        <v>45908</v>
      </c>
      <c r="C85" t="s">
        <v>12</v>
      </c>
      <c r="D85" t="s">
        <v>26</v>
      </c>
      <c r="E85" t="s">
        <v>27</v>
      </c>
      <c r="F85">
        <v>44</v>
      </c>
      <c r="G85" t="s">
        <v>28</v>
      </c>
      <c r="H85" s="10">
        <v>3500</v>
      </c>
      <c r="I85">
        <v>2</v>
      </c>
      <c r="J85" t="s">
        <v>16</v>
      </c>
      <c r="K85" t="s">
        <v>22</v>
      </c>
      <c r="L85">
        <v>4.8</v>
      </c>
    </row>
    <row r="86" spans="1:12" x14ac:dyDescent="0.3">
      <c r="A86">
        <v>1085</v>
      </c>
      <c r="B86" s="2">
        <v>45910</v>
      </c>
      <c r="C86" t="s">
        <v>29</v>
      </c>
      <c r="D86" t="s">
        <v>30</v>
      </c>
      <c r="E86" t="s">
        <v>31</v>
      </c>
      <c r="F86">
        <v>29</v>
      </c>
      <c r="G86" t="s">
        <v>15</v>
      </c>
      <c r="H86" s="10">
        <v>4700</v>
      </c>
      <c r="I86">
        <v>3</v>
      </c>
      <c r="J86" t="s">
        <v>16</v>
      </c>
      <c r="K86" t="s">
        <v>32</v>
      </c>
      <c r="L86">
        <v>5</v>
      </c>
    </row>
    <row r="87" spans="1:12" x14ac:dyDescent="0.3">
      <c r="A87">
        <v>1086</v>
      </c>
      <c r="B87" s="2">
        <v>45913</v>
      </c>
      <c r="C87" t="s">
        <v>33</v>
      </c>
      <c r="D87" t="s">
        <v>13</v>
      </c>
      <c r="E87" t="s">
        <v>34</v>
      </c>
      <c r="F87">
        <v>22</v>
      </c>
      <c r="G87" t="s">
        <v>15</v>
      </c>
      <c r="H87" s="10">
        <v>820</v>
      </c>
      <c r="I87">
        <v>2</v>
      </c>
      <c r="J87" t="s">
        <v>21</v>
      </c>
      <c r="K87" t="s">
        <v>37</v>
      </c>
      <c r="L87">
        <v>4</v>
      </c>
    </row>
    <row r="88" spans="1:12" x14ac:dyDescent="0.3">
      <c r="A88">
        <v>1087</v>
      </c>
      <c r="B88" s="2">
        <v>45916</v>
      </c>
      <c r="C88" t="s">
        <v>35</v>
      </c>
      <c r="D88" t="s">
        <v>19</v>
      </c>
      <c r="E88" t="s">
        <v>36</v>
      </c>
      <c r="F88">
        <v>38</v>
      </c>
      <c r="G88" t="s">
        <v>28</v>
      </c>
      <c r="H88" s="10">
        <v>1400</v>
      </c>
      <c r="I88">
        <v>2</v>
      </c>
      <c r="J88" t="s">
        <v>16</v>
      </c>
      <c r="K88" t="s">
        <v>17</v>
      </c>
      <c r="L88">
        <v>4.4000000000000004</v>
      </c>
    </row>
    <row r="89" spans="1:12" x14ac:dyDescent="0.3">
      <c r="A89">
        <v>1088</v>
      </c>
      <c r="B89" s="2">
        <v>45919</v>
      </c>
      <c r="C89" t="s">
        <v>12</v>
      </c>
      <c r="D89" t="s">
        <v>24</v>
      </c>
      <c r="E89" t="s">
        <v>38</v>
      </c>
      <c r="F89">
        <v>27</v>
      </c>
      <c r="G89" t="s">
        <v>15</v>
      </c>
      <c r="H89" s="10">
        <v>3050</v>
      </c>
      <c r="I89">
        <v>2</v>
      </c>
      <c r="J89" t="s">
        <v>16</v>
      </c>
      <c r="K89" t="s">
        <v>22</v>
      </c>
      <c r="L89">
        <v>4.9000000000000004</v>
      </c>
    </row>
    <row r="90" spans="1:12" x14ac:dyDescent="0.3">
      <c r="A90">
        <v>1089</v>
      </c>
      <c r="B90" s="2">
        <v>45922</v>
      </c>
      <c r="C90" t="s">
        <v>18</v>
      </c>
      <c r="D90" t="s">
        <v>26</v>
      </c>
      <c r="E90" t="s">
        <v>39</v>
      </c>
      <c r="F90">
        <v>35</v>
      </c>
      <c r="G90" t="s">
        <v>28</v>
      </c>
      <c r="H90" s="10">
        <v>3900</v>
      </c>
      <c r="I90">
        <v>2</v>
      </c>
      <c r="J90" t="s">
        <v>16</v>
      </c>
      <c r="K90" t="s">
        <v>17</v>
      </c>
      <c r="L90">
        <v>4.8</v>
      </c>
    </row>
    <row r="91" spans="1:12" x14ac:dyDescent="0.3">
      <c r="A91">
        <v>1090</v>
      </c>
      <c r="B91" s="2">
        <v>45925</v>
      </c>
      <c r="C91" t="s">
        <v>23</v>
      </c>
      <c r="D91" t="s">
        <v>13</v>
      </c>
      <c r="E91" t="s">
        <v>40</v>
      </c>
      <c r="F91">
        <v>37</v>
      </c>
      <c r="G91" t="s">
        <v>15</v>
      </c>
      <c r="H91" s="10">
        <v>1750</v>
      </c>
      <c r="I91">
        <v>2</v>
      </c>
      <c r="J91" t="s">
        <v>21</v>
      </c>
      <c r="K91" t="s">
        <v>22</v>
      </c>
      <c r="L91">
        <v>4.5999999999999996</v>
      </c>
    </row>
    <row r="92" spans="1:12" x14ac:dyDescent="0.3">
      <c r="A92">
        <v>1091</v>
      </c>
      <c r="B92" s="2">
        <v>45932</v>
      </c>
      <c r="C92" t="s">
        <v>12</v>
      </c>
      <c r="D92" t="s">
        <v>13</v>
      </c>
      <c r="E92" t="s">
        <v>14</v>
      </c>
      <c r="F92">
        <v>29</v>
      </c>
      <c r="G92" t="s">
        <v>15</v>
      </c>
      <c r="H92" s="10">
        <v>3450</v>
      </c>
      <c r="I92">
        <v>3</v>
      </c>
      <c r="J92" t="s">
        <v>16</v>
      </c>
      <c r="K92" t="s">
        <v>17</v>
      </c>
      <c r="L92">
        <v>5</v>
      </c>
    </row>
    <row r="93" spans="1:12" x14ac:dyDescent="0.3">
      <c r="A93">
        <v>1092</v>
      </c>
      <c r="B93" s="2">
        <v>45934</v>
      </c>
      <c r="C93" t="s">
        <v>18</v>
      </c>
      <c r="D93" t="s">
        <v>19</v>
      </c>
      <c r="E93" t="s">
        <v>20</v>
      </c>
      <c r="F93">
        <v>34</v>
      </c>
      <c r="G93" t="s">
        <v>15</v>
      </c>
      <c r="H93" s="10">
        <v>1600</v>
      </c>
      <c r="I93">
        <v>2</v>
      </c>
      <c r="J93" t="s">
        <v>21</v>
      </c>
      <c r="K93" t="s">
        <v>22</v>
      </c>
      <c r="L93">
        <v>4.4000000000000004</v>
      </c>
    </row>
    <row r="94" spans="1:12" x14ac:dyDescent="0.3">
      <c r="A94">
        <v>1093</v>
      </c>
      <c r="B94" s="2">
        <v>45936</v>
      </c>
      <c r="C94" t="s">
        <v>23</v>
      </c>
      <c r="D94" t="s">
        <v>24</v>
      </c>
      <c r="E94" t="s">
        <v>25</v>
      </c>
      <c r="F94">
        <v>28</v>
      </c>
      <c r="G94" t="s">
        <v>15</v>
      </c>
      <c r="H94" s="10">
        <v>2700</v>
      </c>
      <c r="I94">
        <v>3</v>
      </c>
      <c r="J94" t="s">
        <v>16</v>
      </c>
      <c r="K94" t="s">
        <v>17</v>
      </c>
      <c r="L94">
        <v>4.9000000000000004</v>
      </c>
    </row>
    <row r="95" spans="1:12" x14ac:dyDescent="0.3">
      <c r="A95">
        <v>1094</v>
      </c>
      <c r="B95" s="2">
        <v>45938</v>
      </c>
      <c r="C95" t="s">
        <v>12</v>
      </c>
      <c r="D95" t="s">
        <v>26</v>
      </c>
      <c r="E95" t="s">
        <v>27</v>
      </c>
      <c r="F95">
        <v>42</v>
      </c>
      <c r="G95" t="s">
        <v>28</v>
      </c>
      <c r="H95" s="10">
        <v>3700</v>
      </c>
      <c r="I95">
        <v>2</v>
      </c>
      <c r="J95" t="s">
        <v>16</v>
      </c>
      <c r="K95" t="s">
        <v>22</v>
      </c>
      <c r="L95">
        <v>4.8</v>
      </c>
    </row>
    <row r="96" spans="1:12" x14ac:dyDescent="0.3">
      <c r="A96">
        <v>1095</v>
      </c>
      <c r="B96" s="2">
        <v>45940</v>
      </c>
      <c r="C96" t="s">
        <v>29</v>
      </c>
      <c r="D96" t="s">
        <v>30</v>
      </c>
      <c r="E96" t="s">
        <v>31</v>
      </c>
      <c r="F96">
        <v>31</v>
      </c>
      <c r="G96" t="s">
        <v>15</v>
      </c>
      <c r="H96" s="10">
        <v>5200</v>
      </c>
      <c r="I96">
        <v>3</v>
      </c>
      <c r="J96" t="s">
        <v>16</v>
      </c>
      <c r="K96" t="s">
        <v>32</v>
      </c>
      <c r="L96">
        <v>5</v>
      </c>
    </row>
    <row r="97" spans="1:12" x14ac:dyDescent="0.3">
      <c r="A97">
        <v>1096</v>
      </c>
      <c r="B97" s="2">
        <v>45943</v>
      </c>
      <c r="C97" t="s">
        <v>33</v>
      </c>
      <c r="D97" t="s">
        <v>13</v>
      </c>
      <c r="E97" t="s">
        <v>34</v>
      </c>
      <c r="F97">
        <v>24</v>
      </c>
      <c r="G97" t="s">
        <v>15</v>
      </c>
      <c r="H97" s="10">
        <v>850</v>
      </c>
      <c r="I97">
        <v>2</v>
      </c>
      <c r="J97" t="s">
        <v>21</v>
      </c>
      <c r="K97" t="s">
        <v>37</v>
      </c>
      <c r="L97">
        <v>4.0999999999999996</v>
      </c>
    </row>
    <row r="98" spans="1:12" x14ac:dyDescent="0.3">
      <c r="A98">
        <v>1097</v>
      </c>
      <c r="B98" s="2">
        <v>45946</v>
      </c>
      <c r="C98" t="s">
        <v>35</v>
      </c>
      <c r="D98" t="s">
        <v>19</v>
      </c>
      <c r="E98" t="s">
        <v>36</v>
      </c>
      <c r="F98">
        <v>40</v>
      </c>
      <c r="G98" t="s">
        <v>28</v>
      </c>
      <c r="H98" s="10">
        <v>1450</v>
      </c>
      <c r="I98">
        <v>2</v>
      </c>
      <c r="J98" t="s">
        <v>16</v>
      </c>
      <c r="K98" t="s">
        <v>17</v>
      </c>
      <c r="L98">
        <v>4.3</v>
      </c>
    </row>
    <row r="99" spans="1:12" x14ac:dyDescent="0.3">
      <c r="A99">
        <v>1098</v>
      </c>
      <c r="B99" s="2">
        <v>45949</v>
      </c>
      <c r="C99" t="s">
        <v>12</v>
      </c>
      <c r="D99" t="s">
        <v>24</v>
      </c>
      <c r="E99" t="s">
        <v>38</v>
      </c>
      <c r="F99">
        <v>30</v>
      </c>
      <c r="G99" t="s">
        <v>15</v>
      </c>
      <c r="H99" s="10">
        <v>3200</v>
      </c>
      <c r="I99">
        <v>2</v>
      </c>
      <c r="J99" t="s">
        <v>16</v>
      </c>
      <c r="K99" t="s">
        <v>22</v>
      </c>
      <c r="L99">
        <v>4.9000000000000004</v>
      </c>
    </row>
    <row r="100" spans="1:12" x14ac:dyDescent="0.3">
      <c r="A100">
        <v>1099</v>
      </c>
      <c r="B100" s="2">
        <v>45952</v>
      </c>
      <c r="C100" t="s">
        <v>18</v>
      </c>
      <c r="D100" t="s">
        <v>26</v>
      </c>
      <c r="E100" t="s">
        <v>39</v>
      </c>
      <c r="F100">
        <v>36</v>
      </c>
      <c r="G100" t="s">
        <v>28</v>
      </c>
      <c r="H100" s="10">
        <v>4100</v>
      </c>
      <c r="I100">
        <v>2</v>
      </c>
      <c r="J100" t="s">
        <v>16</v>
      </c>
      <c r="K100" t="s">
        <v>17</v>
      </c>
      <c r="L100">
        <v>4.8</v>
      </c>
    </row>
    <row r="101" spans="1:12" x14ac:dyDescent="0.3">
      <c r="A101">
        <v>1100</v>
      </c>
      <c r="B101" s="2">
        <v>45955</v>
      </c>
      <c r="C101" t="s">
        <v>23</v>
      </c>
      <c r="D101" t="s">
        <v>13</v>
      </c>
      <c r="E101" t="s">
        <v>40</v>
      </c>
      <c r="F101">
        <v>33</v>
      </c>
      <c r="G101" t="s">
        <v>15</v>
      </c>
      <c r="H101" s="10">
        <v>1800</v>
      </c>
      <c r="I101">
        <v>2</v>
      </c>
      <c r="J101" t="s">
        <v>21</v>
      </c>
      <c r="K101" t="s">
        <v>22</v>
      </c>
      <c r="L101">
        <v>4.5999999999999996</v>
      </c>
    </row>
    <row r="102" spans="1:12" x14ac:dyDescent="0.3">
      <c r="A102">
        <v>1101</v>
      </c>
      <c r="B102" s="2">
        <v>45963</v>
      </c>
      <c r="C102" t="s">
        <v>12</v>
      </c>
      <c r="D102" t="s">
        <v>13</v>
      </c>
      <c r="E102" t="s">
        <v>14</v>
      </c>
      <c r="F102">
        <v>30</v>
      </c>
      <c r="G102" t="s">
        <v>15</v>
      </c>
      <c r="H102" s="10">
        <v>3600</v>
      </c>
      <c r="I102">
        <v>3</v>
      </c>
      <c r="J102" t="s">
        <v>16</v>
      </c>
      <c r="K102" t="s">
        <v>17</v>
      </c>
      <c r="L102">
        <v>5</v>
      </c>
    </row>
    <row r="103" spans="1:12" x14ac:dyDescent="0.3">
      <c r="A103">
        <v>1102</v>
      </c>
      <c r="B103" s="2">
        <v>45965</v>
      </c>
      <c r="C103" t="s">
        <v>18</v>
      </c>
      <c r="D103" t="s">
        <v>19</v>
      </c>
      <c r="E103" t="s">
        <v>20</v>
      </c>
      <c r="F103">
        <v>32</v>
      </c>
      <c r="G103" t="s">
        <v>15</v>
      </c>
      <c r="H103" s="10">
        <v>1700</v>
      </c>
      <c r="I103">
        <v>2</v>
      </c>
      <c r="J103" t="s">
        <v>21</v>
      </c>
      <c r="K103" t="s">
        <v>22</v>
      </c>
      <c r="L103">
        <v>4.5</v>
      </c>
    </row>
    <row r="104" spans="1:12" x14ac:dyDescent="0.3">
      <c r="A104">
        <v>1103</v>
      </c>
      <c r="B104" s="2">
        <v>45967</v>
      </c>
      <c r="C104" t="s">
        <v>23</v>
      </c>
      <c r="D104" t="s">
        <v>24</v>
      </c>
      <c r="E104" t="s">
        <v>25</v>
      </c>
      <c r="F104">
        <v>27</v>
      </c>
      <c r="G104" t="s">
        <v>15</v>
      </c>
      <c r="H104" s="10">
        <v>2900</v>
      </c>
      <c r="I104">
        <v>3</v>
      </c>
      <c r="J104" t="s">
        <v>16</v>
      </c>
      <c r="K104" t="s">
        <v>17</v>
      </c>
      <c r="L104">
        <v>4.9000000000000004</v>
      </c>
    </row>
    <row r="105" spans="1:12" x14ac:dyDescent="0.3">
      <c r="A105">
        <v>1104</v>
      </c>
      <c r="B105" s="2">
        <v>45969</v>
      </c>
      <c r="C105" t="s">
        <v>12</v>
      </c>
      <c r="D105" t="s">
        <v>26</v>
      </c>
      <c r="E105" t="s">
        <v>27</v>
      </c>
      <c r="F105">
        <v>39</v>
      </c>
      <c r="G105" t="s">
        <v>28</v>
      </c>
      <c r="H105" s="10">
        <v>3950</v>
      </c>
      <c r="I105">
        <v>2</v>
      </c>
      <c r="J105" t="s">
        <v>16</v>
      </c>
      <c r="K105" t="s">
        <v>22</v>
      </c>
      <c r="L105">
        <v>4.9000000000000004</v>
      </c>
    </row>
    <row r="106" spans="1:12" x14ac:dyDescent="0.3">
      <c r="A106">
        <v>1105</v>
      </c>
      <c r="B106" s="2">
        <v>45971</v>
      </c>
      <c r="C106" t="s">
        <v>29</v>
      </c>
      <c r="D106" t="s">
        <v>30</v>
      </c>
      <c r="E106" t="s">
        <v>31</v>
      </c>
      <c r="F106">
        <v>35</v>
      </c>
      <c r="G106" t="s">
        <v>15</v>
      </c>
      <c r="H106" s="10">
        <v>5500</v>
      </c>
      <c r="I106">
        <v>3</v>
      </c>
      <c r="J106" t="s">
        <v>16</v>
      </c>
      <c r="K106" t="s">
        <v>32</v>
      </c>
      <c r="L106">
        <v>5</v>
      </c>
    </row>
    <row r="107" spans="1:12" x14ac:dyDescent="0.3">
      <c r="A107">
        <v>1106</v>
      </c>
      <c r="B107" s="2">
        <v>45974</v>
      </c>
      <c r="C107" t="s">
        <v>33</v>
      </c>
      <c r="D107" t="s">
        <v>13</v>
      </c>
      <c r="E107" t="s">
        <v>34</v>
      </c>
      <c r="F107">
        <v>25</v>
      </c>
      <c r="G107" t="s">
        <v>15</v>
      </c>
      <c r="H107" s="10">
        <v>900</v>
      </c>
      <c r="I107">
        <v>2</v>
      </c>
      <c r="J107" t="s">
        <v>21</v>
      </c>
      <c r="K107" t="s">
        <v>37</v>
      </c>
      <c r="L107">
        <v>4.2</v>
      </c>
    </row>
    <row r="108" spans="1:12" x14ac:dyDescent="0.3">
      <c r="A108">
        <v>1107</v>
      </c>
      <c r="B108" s="2">
        <v>45977</v>
      </c>
      <c r="C108" t="s">
        <v>35</v>
      </c>
      <c r="D108" t="s">
        <v>19</v>
      </c>
      <c r="E108" s="10" t="s">
        <v>36</v>
      </c>
      <c r="F108">
        <v>43</v>
      </c>
      <c r="G108" t="s">
        <v>28</v>
      </c>
      <c r="H108" s="10">
        <v>1500</v>
      </c>
      <c r="I108">
        <v>2</v>
      </c>
      <c r="J108" t="s">
        <v>16</v>
      </c>
      <c r="K108" t="s">
        <v>17</v>
      </c>
      <c r="L108">
        <v>4.4000000000000004</v>
      </c>
    </row>
    <row r="109" spans="1:12" x14ac:dyDescent="0.3">
      <c r="A109">
        <v>1108</v>
      </c>
      <c r="B109" s="2">
        <v>45980</v>
      </c>
      <c r="C109" t="s">
        <v>12</v>
      </c>
      <c r="D109" t="s">
        <v>24</v>
      </c>
      <c r="E109" t="s">
        <v>38</v>
      </c>
      <c r="F109">
        <v>31</v>
      </c>
      <c r="G109" t="s">
        <v>15</v>
      </c>
      <c r="H109" s="10">
        <v>3400</v>
      </c>
      <c r="I109">
        <v>2</v>
      </c>
      <c r="J109" t="s">
        <v>16</v>
      </c>
      <c r="K109" t="s">
        <v>22</v>
      </c>
      <c r="L109">
        <v>4.9000000000000004</v>
      </c>
    </row>
    <row r="110" spans="1:12" x14ac:dyDescent="0.3">
      <c r="A110">
        <v>1109</v>
      </c>
      <c r="B110" s="2">
        <v>45983</v>
      </c>
      <c r="C110" t="s">
        <v>18</v>
      </c>
      <c r="D110" t="s">
        <v>26</v>
      </c>
      <c r="E110" t="s">
        <v>39</v>
      </c>
      <c r="F110">
        <v>37</v>
      </c>
      <c r="G110" t="s">
        <v>28</v>
      </c>
      <c r="H110" s="10">
        <v>4300</v>
      </c>
      <c r="I110">
        <v>2</v>
      </c>
      <c r="J110" t="s">
        <v>16</v>
      </c>
      <c r="K110" t="s">
        <v>17</v>
      </c>
      <c r="L110">
        <v>4.9000000000000004</v>
      </c>
    </row>
    <row r="111" spans="1:12" x14ac:dyDescent="0.3">
      <c r="A111">
        <v>1110</v>
      </c>
      <c r="B111" s="2">
        <v>45986</v>
      </c>
      <c r="C111" t="s">
        <v>23</v>
      </c>
      <c r="D111" t="s">
        <v>13</v>
      </c>
      <c r="E111" t="s">
        <v>40</v>
      </c>
      <c r="F111">
        <v>34</v>
      </c>
      <c r="G111" t="s">
        <v>15</v>
      </c>
      <c r="H111" s="10">
        <v>1900</v>
      </c>
      <c r="I111">
        <v>2</v>
      </c>
      <c r="J111" t="s">
        <v>21</v>
      </c>
      <c r="K111" t="s">
        <v>22</v>
      </c>
      <c r="L111">
        <v>4.7</v>
      </c>
    </row>
    <row r="112" spans="1:12" x14ac:dyDescent="0.3">
      <c r="A112">
        <v>1111</v>
      </c>
      <c r="B112" s="2">
        <v>45993</v>
      </c>
      <c r="C112" t="s">
        <v>12</v>
      </c>
      <c r="D112" t="s">
        <v>13</v>
      </c>
      <c r="E112" t="s">
        <v>14</v>
      </c>
      <c r="F112">
        <v>32</v>
      </c>
      <c r="G112" t="s">
        <v>15</v>
      </c>
      <c r="H112" s="10">
        <v>3800</v>
      </c>
      <c r="I112">
        <v>3</v>
      </c>
      <c r="J112" t="s">
        <v>16</v>
      </c>
      <c r="K112" t="s">
        <v>17</v>
      </c>
      <c r="L112">
        <v>5</v>
      </c>
    </row>
    <row r="113" spans="1:12" x14ac:dyDescent="0.3">
      <c r="A113">
        <v>1112</v>
      </c>
      <c r="B113" s="2">
        <v>45995</v>
      </c>
      <c r="C113" t="s">
        <v>18</v>
      </c>
      <c r="D113" t="s">
        <v>19</v>
      </c>
      <c r="E113" t="s">
        <v>20</v>
      </c>
      <c r="F113">
        <v>35</v>
      </c>
      <c r="G113" t="s">
        <v>15</v>
      </c>
      <c r="H113" s="10">
        <v>1800</v>
      </c>
      <c r="I113">
        <v>2</v>
      </c>
      <c r="J113" t="s">
        <v>21</v>
      </c>
      <c r="K113" t="s">
        <v>22</v>
      </c>
      <c r="L113">
        <v>4.5999999999999996</v>
      </c>
    </row>
    <row r="114" spans="1:12" x14ac:dyDescent="0.3">
      <c r="A114">
        <v>1113</v>
      </c>
      <c r="B114" s="2">
        <v>45997</v>
      </c>
      <c r="C114" t="s">
        <v>23</v>
      </c>
      <c r="D114" t="s">
        <v>24</v>
      </c>
      <c r="E114" t="s">
        <v>25</v>
      </c>
      <c r="F114">
        <v>29</v>
      </c>
      <c r="G114" t="s">
        <v>15</v>
      </c>
      <c r="H114" s="10">
        <v>3100</v>
      </c>
      <c r="I114">
        <v>3</v>
      </c>
      <c r="J114" t="s">
        <v>16</v>
      </c>
      <c r="K114" t="s">
        <v>17</v>
      </c>
      <c r="L114">
        <v>4.9000000000000004</v>
      </c>
    </row>
    <row r="115" spans="1:12" x14ac:dyDescent="0.3">
      <c r="A115">
        <v>1114</v>
      </c>
      <c r="B115" s="2">
        <v>45999</v>
      </c>
      <c r="C115" t="s">
        <v>12</v>
      </c>
      <c r="D115" t="s">
        <v>26</v>
      </c>
      <c r="E115" t="s">
        <v>27</v>
      </c>
      <c r="F115">
        <v>41</v>
      </c>
      <c r="G115" t="s">
        <v>28</v>
      </c>
      <c r="H115" s="10">
        <v>4200</v>
      </c>
      <c r="I115">
        <v>2</v>
      </c>
      <c r="J115" t="s">
        <v>16</v>
      </c>
      <c r="K115" t="s">
        <v>22</v>
      </c>
      <c r="L115">
        <v>4.9000000000000004</v>
      </c>
    </row>
    <row r="116" spans="1:12" x14ac:dyDescent="0.3">
      <c r="A116">
        <v>1115</v>
      </c>
      <c r="B116" s="2">
        <v>46001</v>
      </c>
      <c r="C116" t="s">
        <v>29</v>
      </c>
      <c r="D116" t="s">
        <v>30</v>
      </c>
      <c r="E116" t="s">
        <v>31</v>
      </c>
      <c r="F116">
        <v>36</v>
      </c>
      <c r="G116" t="s">
        <v>15</v>
      </c>
      <c r="H116" s="10">
        <v>6000</v>
      </c>
      <c r="I116">
        <v>3</v>
      </c>
      <c r="J116" t="s">
        <v>16</v>
      </c>
      <c r="K116" t="s">
        <v>32</v>
      </c>
      <c r="L116">
        <v>5</v>
      </c>
    </row>
    <row r="117" spans="1:12" x14ac:dyDescent="0.3">
      <c r="A117">
        <v>1116</v>
      </c>
      <c r="B117" s="2">
        <v>46004</v>
      </c>
      <c r="C117" t="s">
        <v>33</v>
      </c>
      <c r="D117" t="s">
        <v>13</v>
      </c>
      <c r="E117" t="s">
        <v>34</v>
      </c>
      <c r="F117">
        <v>26</v>
      </c>
      <c r="G117" t="s">
        <v>15</v>
      </c>
      <c r="H117" s="10">
        <v>950</v>
      </c>
      <c r="I117">
        <v>2</v>
      </c>
      <c r="J117" t="s">
        <v>21</v>
      </c>
      <c r="K117" t="s">
        <v>37</v>
      </c>
      <c r="L117">
        <v>4.3</v>
      </c>
    </row>
    <row r="118" spans="1:12" x14ac:dyDescent="0.3">
      <c r="A118">
        <v>1117</v>
      </c>
      <c r="B118" s="2">
        <v>46007</v>
      </c>
      <c r="C118" t="s">
        <v>35</v>
      </c>
      <c r="D118" t="s">
        <v>19</v>
      </c>
      <c r="E118" t="s">
        <v>36</v>
      </c>
      <c r="F118">
        <v>44</v>
      </c>
      <c r="G118" t="s">
        <v>28</v>
      </c>
      <c r="H118" s="10">
        <v>1550</v>
      </c>
      <c r="I118">
        <v>2</v>
      </c>
      <c r="J118" t="s">
        <v>16</v>
      </c>
      <c r="K118" t="s">
        <v>17</v>
      </c>
      <c r="L118">
        <v>4.5</v>
      </c>
    </row>
    <row r="119" spans="1:12" x14ac:dyDescent="0.3">
      <c r="A119">
        <v>1118</v>
      </c>
      <c r="B119" s="2">
        <v>46010</v>
      </c>
      <c r="C119" t="s">
        <v>12</v>
      </c>
      <c r="D119" t="s">
        <v>24</v>
      </c>
      <c r="E119" t="s">
        <v>38</v>
      </c>
      <c r="F119">
        <v>33</v>
      </c>
      <c r="G119" t="s">
        <v>15</v>
      </c>
      <c r="H119" s="10">
        <v>3650</v>
      </c>
      <c r="I119">
        <v>2</v>
      </c>
      <c r="J119" t="s">
        <v>16</v>
      </c>
      <c r="K119" t="s">
        <v>22</v>
      </c>
      <c r="L119">
        <v>5</v>
      </c>
    </row>
    <row r="120" spans="1:12" x14ac:dyDescent="0.3">
      <c r="A120">
        <v>1119</v>
      </c>
      <c r="B120" s="2">
        <v>46013</v>
      </c>
      <c r="C120" t="s">
        <v>18</v>
      </c>
      <c r="D120" t="s">
        <v>26</v>
      </c>
      <c r="E120" t="s">
        <v>39</v>
      </c>
      <c r="F120">
        <v>38</v>
      </c>
      <c r="G120" t="s">
        <v>28</v>
      </c>
      <c r="H120" s="10">
        <v>4500</v>
      </c>
      <c r="I120">
        <v>2</v>
      </c>
      <c r="J120" t="s">
        <v>16</v>
      </c>
      <c r="K120" t="s">
        <v>17</v>
      </c>
      <c r="L120">
        <v>4.9000000000000004</v>
      </c>
    </row>
    <row r="121" spans="1:12" x14ac:dyDescent="0.3">
      <c r="A121">
        <v>1120</v>
      </c>
      <c r="B121" s="2">
        <v>46016</v>
      </c>
      <c r="C121" t="s">
        <v>23</v>
      </c>
      <c r="D121" t="s">
        <v>13</v>
      </c>
      <c r="E121" t="s">
        <v>40</v>
      </c>
      <c r="F121">
        <v>36</v>
      </c>
      <c r="G121" t="s">
        <v>15</v>
      </c>
      <c r="H121" s="10">
        <v>2000</v>
      </c>
      <c r="I121">
        <v>2</v>
      </c>
      <c r="J121" t="s">
        <v>21</v>
      </c>
      <c r="K121" t="s">
        <v>22</v>
      </c>
      <c r="L121">
        <v>4.8</v>
      </c>
    </row>
  </sheetData>
  <conditionalFormatting sqref="H1:H121">
    <cfRule type="cellIs" dxfId="2" priority="1" operator="lessThan">
      <formula>1000</formula>
    </cfRule>
  </conditionalFormatting>
  <conditionalFormatting sqref="H2:H121">
    <cfRule type="cellIs" dxfId="1" priority="2" operator="lessThan">
      <formula>600</formula>
    </cfRule>
    <cfRule type="cellIs" dxfId="0" priority="3" operator="greaterThan">
      <formula>2000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DEF4F-850D-41F4-AC24-238A3A752929}">
  <dimension ref="A3:B24"/>
  <sheetViews>
    <sheetView workbookViewId="0">
      <selection activeCell="B32" sqref="B32"/>
    </sheetView>
  </sheetViews>
  <sheetFormatPr defaultRowHeight="14.4" x14ac:dyDescent="0.3"/>
  <cols>
    <col min="1" max="1" width="12.5546875" bestFit="1" customWidth="1"/>
    <col min="2" max="2" width="12.109375" bestFit="1" customWidth="1"/>
  </cols>
  <sheetData>
    <row r="3" spans="1:2" x14ac:dyDescent="0.3">
      <c r="A3" s="22" t="s">
        <v>48</v>
      </c>
      <c r="B3" t="s">
        <v>62</v>
      </c>
    </row>
    <row r="4" spans="1:2" x14ac:dyDescent="0.3">
      <c r="A4" s="23" t="s">
        <v>27</v>
      </c>
      <c r="B4" s="10">
        <v>38250</v>
      </c>
    </row>
    <row r="5" spans="1:2" x14ac:dyDescent="0.3">
      <c r="A5" s="23" t="s">
        <v>14</v>
      </c>
      <c r="B5" s="10">
        <v>33300</v>
      </c>
    </row>
    <row r="6" spans="1:2" x14ac:dyDescent="0.3">
      <c r="A6" s="23" t="s">
        <v>38</v>
      </c>
      <c r="B6" s="10">
        <v>32400</v>
      </c>
    </row>
    <row r="7" spans="1:2" x14ac:dyDescent="0.3">
      <c r="A7" s="23" t="s">
        <v>49</v>
      </c>
      <c r="B7" s="10">
        <v>103950</v>
      </c>
    </row>
    <row r="20" spans="1:2" x14ac:dyDescent="0.3">
      <c r="A20" s="22" t="s">
        <v>48</v>
      </c>
      <c r="B20" t="s">
        <v>62</v>
      </c>
    </row>
    <row r="21" spans="1:2" x14ac:dyDescent="0.3">
      <c r="A21" s="23" t="s">
        <v>38</v>
      </c>
      <c r="B21" s="10">
        <v>32400</v>
      </c>
    </row>
    <row r="22" spans="1:2" x14ac:dyDescent="0.3">
      <c r="A22" s="23" t="s">
        <v>14</v>
      </c>
      <c r="B22" s="10">
        <v>33300</v>
      </c>
    </row>
    <row r="23" spans="1:2" x14ac:dyDescent="0.3">
      <c r="A23" s="23" t="s">
        <v>27</v>
      </c>
      <c r="B23" s="10">
        <v>38250</v>
      </c>
    </row>
    <row r="24" spans="1:2" x14ac:dyDescent="0.3">
      <c r="A24" s="23" t="s">
        <v>49</v>
      </c>
      <c r="B24" s="10">
        <v>103950</v>
      </c>
    </row>
  </sheetData>
  <conditionalFormatting pivot="1" sqref="B7">
    <cfRule type="dataBar" priority="1">
      <dataBar>
        <cfvo type="min"/>
        <cfvo type="max"/>
        <color rgb="FFFF555A"/>
      </dataBar>
      <extLst>
        <ext xmlns:x14="http://schemas.microsoft.com/office/spreadsheetml/2009/9/main" uri="{B025F937-C7B1-47D3-B67F-A62EFF666E3E}">
          <x14:id>{AA2B81AF-9A5A-4664-BBB4-1C304B759B7F}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AA2B81AF-9A5A-4664-BBB4-1C304B759B7F}">
            <x14:dataBar minLength="0" maxLength="100" gradient="0">
              <x14:cfvo type="autoMin"/>
              <x14:cfvo type="autoMax"/>
              <x14:negativeFillColor rgb="FFFF0000"/>
              <x14:axisColor rgb="FF000000"/>
            </x14:dataBar>
          </x14:cfRule>
          <xm:sqref>B7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BF08E-0AF6-4237-A414-62BD9A82FCFD}">
  <dimension ref="A3:E70"/>
  <sheetViews>
    <sheetView topLeftCell="A36" workbookViewId="0">
      <selection activeCell="F74" sqref="F74"/>
    </sheetView>
  </sheetViews>
  <sheetFormatPr defaultRowHeight="14.4" x14ac:dyDescent="0.3"/>
  <cols>
    <col min="1" max="1" width="12.5546875" bestFit="1" customWidth="1"/>
    <col min="2" max="2" width="12.109375" bestFit="1" customWidth="1"/>
    <col min="3" max="3" width="21.5546875" bestFit="1" customWidth="1"/>
    <col min="4" max="4" width="14.88671875" bestFit="1" customWidth="1"/>
  </cols>
  <sheetData>
    <row r="3" spans="1:2" x14ac:dyDescent="0.3">
      <c r="A3" s="22" t="s">
        <v>48</v>
      </c>
      <c r="B3" t="s">
        <v>116</v>
      </c>
    </row>
    <row r="4" spans="1:2" x14ac:dyDescent="0.3">
      <c r="A4" s="23">
        <v>4.2</v>
      </c>
      <c r="B4" s="38">
        <v>1</v>
      </c>
    </row>
    <row r="5" spans="1:2" x14ac:dyDescent="0.3">
      <c r="A5" s="23">
        <v>4.3</v>
      </c>
      <c r="B5" s="38">
        <v>1</v>
      </c>
    </row>
    <row r="6" spans="1:2" x14ac:dyDescent="0.3">
      <c r="A6" s="23">
        <v>4.5</v>
      </c>
      <c r="B6" s="38">
        <v>3</v>
      </c>
    </row>
    <row r="7" spans="1:2" x14ac:dyDescent="0.3">
      <c r="A7" s="23">
        <v>4.5999999999999996</v>
      </c>
      <c r="B7" s="38">
        <v>5</v>
      </c>
    </row>
    <row r="8" spans="1:2" x14ac:dyDescent="0.3">
      <c r="A8" s="23">
        <v>4.7</v>
      </c>
      <c r="B8" s="38">
        <v>5</v>
      </c>
    </row>
    <row r="9" spans="1:2" x14ac:dyDescent="0.3">
      <c r="A9" s="23">
        <v>4.8</v>
      </c>
      <c r="B9" s="38">
        <v>4</v>
      </c>
    </row>
    <row r="10" spans="1:2" x14ac:dyDescent="0.3">
      <c r="A10" s="23">
        <v>4.9000000000000004</v>
      </c>
      <c r="B10" s="38">
        <v>13</v>
      </c>
    </row>
    <row r="11" spans="1:2" x14ac:dyDescent="0.3">
      <c r="A11" s="23">
        <v>5</v>
      </c>
      <c r="B11" s="38">
        <v>4</v>
      </c>
    </row>
    <row r="12" spans="1:2" x14ac:dyDescent="0.3">
      <c r="A12" s="23" t="s">
        <v>49</v>
      </c>
      <c r="B12" s="38">
        <v>36</v>
      </c>
    </row>
    <row r="21" spans="1:4" x14ac:dyDescent="0.3">
      <c r="A21" s="22" t="s">
        <v>48</v>
      </c>
      <c r="B21" t="s">
        <v>62</v>
      </c>
      <c r="C21" t="s">
        <v>116</v>
      </c>
      <c r="D21" t="s">
        <v>117</v>
      </c>
    </row>
    <row r="22" spans="1:4" x14ac:dyDescent="0.3">
      <c r="A22" s="23" t="s">
        <v>16</v>
      </c>
      <c r="B22" s="10">
        <v>101750</v>
      </c>
      <c r="C22" s="38">
        <v>35</v>
      </c>
      <c r="D22" s="38">
        <v>79</v>
      </c>
    </row>
    <row r="23" spans="1:4" x14ac:dyDescent="0.3">
      <c r="A23" s="23" t="s">
        <v>21</v>
      </c>
      <c r="B23" s="10">
        <v>2200</v>
      </c>
      <c r="C23" s="38">
        <v>1</v>
      </c>
      <c r="D23" s="38">
        <v>2</v>
      </c>
    </row>
    <row r="24" spans="1:4" x14ac:dyDescent="0.3">
      <c r="A24" s="23" t="s">
        <v>49</v>
      </c>
      <c r="B24" s="10">
        <v>103950</v>
      </c>
      <c r="C24" s="38">
        <v>36</v>
      </c>
      <c r="D24" s="38">
        <v>81</v>
      </c>
    </row>
    <row r="37" spans="1:5" ht="18" x14ac:dyDescent="0.35">
      <c r="C37" s="39" t="s">
        <v>118</v>
      </c>
      <c r="D37" s="36"/>
      <c r="E37" s="36"/>
    </row>
    <row r="38" spans="1:5" x14ac:dyDescent="0.3">
      <c r="A38" s="22" t="s">
        <v>48</v>
      </c>
      <c r="B38" t="s">
        <v>62</v>
      </c>
      <c r="C38" t="s">
        <v>116</v>
      </c>
    </row>
    <row r="39" spans="1:5" x14ac:dyDescent="0.3">
      <c r="A39" s="23" t="s">
        <v>12</v>
      </c>
      <c r="B39" s="10">
        <v>103950</v>
      </c>
      <c r="C39" s="38">
        <v>36</v>
      </c>
    </row>
    <row r="40" spans="1:5" x14ac:dyDescent="0.3">
      <c r="A40" s="23" t="s">
        <v>49</v>
      </c>
      <c r="B40" s="10">
        <v>103950</v>
      </c>
      <c r="C40" s="38">
        <v>36</v>
      </c>
    </row>
    <row r="56" spans="1:5" ht="18" x14ac:dyDescent="0.35">
      <c r="B56" s="39" t="s">
        <v>119</v>
      </c>
      <c r="C56" s="36"/>
      <c r="D56" s="36"/>
      <c r="E56" s="36"/>
    </row>
    <row r="57" spans="1:5" x14ac:dyDescent="0.3">
      <c r="A57" s="22" t="s">
        <v>48</v>
      </c>
      <c r="B57" t="s">
        <v>62</v>
      </c>
    </row>
    <row r="58" spans="1:5" x14ac:dyDescent="0.3">
      <c r="A58" s="23" t="s">
        <v>50</v>
      </c>
      <c r="B58" s="10">
        <v>5500</v>
      </c>
    </row>
    <row r="59" spans="1:5" x14ac:dyDescent="0.3">
      <c r="A59" s="23" t="s">
        <v>51</v>
      </c>
      <c r="B59" s="10">
        <v>7500</v>
      </c>
    </row>
    <row r="60" spans="1:5" x14ac:dyDescent="0.3">
      <c r="A60" s="23" t="s">
        <v>52</v>
      </c>
      <c r="B60" s="10">
        <v>6250</v>
      </c>
    </row>
    <row r="61" spans="1:5" x14ac:dyDescent="0.3">
      <c r="A61" s="23" t="s">
        <v>53</v>
      </c>
      <c r="B61" s="10">
        <v>7900</v>
      </c>
    </row>
    <row r="62" spans="1:5" x14ac:dyDescent="0.3">
      <c r="A62" s="23" t="s">
        <v>54</v>
      </c>
      <c r="B62" s="10">
        <v>8500</v>
      </c>
    </row>
    <row r="63" spans="1:5" x14ac:dyDescent="0.3">
      <c r="A63" s="23" t="s">
        <v>55</v>
      </c>
      <c r="B63" s="10">
        <v>7200</v>
      </c>
    </row>
    <row r="64" spans="1:5" x14ac:dyDescent="0.3">
      <c r="A64" s="23" t="s">
        <v>56</v>
      </c>
      <c r="B64" s="10">
        <v>9050</v>
      </c>
    </row>
    <row r="65" spans="1:2" x14ac:dyDescent="0.3">
      <c r="A65" s="23" t="s">
        <v>57</v>
      </c>
      <c r="B65" s="10">
        <v>9250</v>
      </c>
    </row>
    <row r="66" spans="1:2" x14ac:dyDescent="0.3">
      <c r="A66" s="23" t="s">
        <v>58</v>
      </c>
      <c r="B66" s="10">
        <v>9850</v>
      </c>
    </row>
    <row r="67" spans="1:2" x14ac:dyDescent="0.3">
      <c r="A67" s="23" t="s">
        <v>59</v>
      </c>
      <c r="B67" s="10">
        <v>10350</v>
      </c>
    </row>
    <row r="68" spans="1:2" x14ac:dyDescent="0.3">
      <c r="A68" s="23" t="s">
        <v>60</v>
      </c>
      <c r="B68" s="10">
        <v>10950</v>
      </c>
    </row>
    <row r="69" spans="1:2" x14ac:dyDescent="0.3">
      <c r="A69" s="23" t="s">
        <v>61</v>
      </c>
      <c r="B69" s="10">
        <v>11650</v>
      </c>
    </row>
    <row r="70" spans="1:2" x14ac:dyDescent="0.3">
      <c r="A70" s="23" t="s">
        <v>49</v>
      </c>
      <c r="B70" s="10">
        <v>103950</v>
      </c>
    </row>
  </sheetData>
  <sortState xmlns:xlrd2="http://schemas.microsoft.com/office/spreadsheetml/2017/richdata2" columnSort="1" ref="A38:C45">
    <sortCondition descending="1" ref="B42"/>
  </sortState>
  <mergeCells count="2">
    <mergeCell ref="C37:E37"/>
    <mergeCell ref="B56:E56"/>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EF08D-1975-451B-9714-61711EDEB9D0}">
  <dimension ref="A1:M122"/>
  <sheetViews>
    <sheetView topLeftCell="A2" zoomScale="143" workbookViewId="0">
      <selection activeCell="A5" sqref="A5"/>
    </sheetView>
  </sheetViews>
  <sheetFormatPr defaultRowHeight="14.4" x14ac:dyDescent="0.3"/>
  <cols>
    <col min="1" max="1" width="15.33203125" customWidth="1"/>
    <col min="2" max="2" width="11.44140625" customWidth="1"/>
    <col min="3" max="3" width="13" customWidth="1"/>
    <col min="4" max="4" width="10.109375" customWidth="1"/>
    <col min="5" max="5" width="14.5546875" customWidth="1"/>
    <col min="8" max="8" width="14.109375" customWidth="1"/>
    <col min="9" max="9" width="10" customWidth="1"/>
    <col min="10" max="10" width="13.33203125" customWidth="1"/>
    <col min="11" max="11" width="15.5546875" customWidth="1"/>
    <col min="13" max="13" width="11.44140625" customWidth="1"/>
  </cols>
  <sheetData>
    <row r="1" spans="1:13" x14ac:dyDescent="0.3">
      <c r="A1" s="18" t="s">
        <v>0</v>
      </c>
      <c r="B1" s="18" t="s">
        <v>1</v>
      </c>
      <c r="C1" s="18" t="s">
        <v>2</v>
      </c>
      <c r="D1" s="19" t="s">
        <v>3</v>
      </c>
      <c r="E1" s="18" t="s">
        <v>4</v>
      </c>
      <c r="F1" s="18" t="s">
        <v>5</v>
      </c>
      <c r="G1" s="19" t="s">
        <v>6</v>
      </c>
      <c r="H1" s="19" t="s">
        <v>7</v>
      </c>
      <c r="I1" s="19" t="s">
        <v>8</v>
      </c>
      <c r="J1" s="19" t="s">
        <v>9</v>
      </c>
      <c r="K1" s="18" t="s">
        <v>10</v>
      </c>
      <c r="L1" s="20" t="s">
        <v>11</v>
      </c>
      <c r="M1" t="s">
        <v>63</v>
      </c>
    </row>
    <row r="2" spans="1:13" x14ac:dyDescent="0.3">
      <c r="A2" s="5">
        <v>1115</v>
      </c>
      <c r="B2" s="11">
        <v>46001</v>
      </c>
      <c r="C2" s="5" t="s">
        <v>29</v>
      </c>
      <c r="D2" s="5" t="s">
        <v>30</v>
      </c>
      <c r="E2" s="5" t="s">
        <v>31</v>
      </c>
      <c r="F2" s="5">
        <v>36</v>
      </c>
      <c r="G2" s="5" t="s">
        <v>15</v>
      </c>
      <c r="H2" s="17">
        <v>6000</v>
      </c>
      <c r="I2" s="5">
        <v>3</v>
      </c>
      <c r="J2" s="5" t="s">
        <v>16</v>
      </c>
      <c r="K2" s="5" t="s">
        <v>32</v>
      </c>
      <c r="L2" s="6">
        <v>5</v>
      </c>
      <c r="M2" t="str">
        <f t="shared" ref="M2:M33" si="0">IF(F2&lt;25,"18-24",IF(F2&lt;35,"25-34",IF(F2&lt;45,"35-44","45+")))</f>
        <v>35-44</v>
      </c>
    </row>
    <row r="3" spans="1:13" x14ac:dyDescent="0.3">
      <c r="A3" s="5">
        <v>1105</v>
      </c>
      <c r="B3" s="11">
        <v>45971</v>
      </c>
      <c r="C3" s="5" t="s">
        <v>29</v>
      </c>
      <c r="D3" s="5" t="s">
        <v>30</v>
      </c>
      <c r="E3" s="5" t="s">
        <v>31</v>
      </c>
      <c r="F3" s="5">
        <v>35</v>
      </c>
      <c r="G3" s="5" t="s">
        <v>15</v>
      </c>
      <c r="H3" s="17">
        <v>5500</v>
      </c>
      <c r="I3" s="5">
        <v>3</v>
      </c>
      <c r="J3" s="5" t="s">
        <v>16</v>
      </c>
      <c r="K3" s="5" t="s">
        <v>32</v>
      </c>
      <c r="L3" s="6">
        <v>5</v>
      </c>
      <c r="M3" t="str">
        <f t="shared" si="0"/>
        <v>35-44</v>
      </c>
    </row>
    <row r="4" spans="1:13" x14ac:dyDescent="0.3">
      <c r="A4" s="5">
        <v>1095</v>
      </c>
      <c r="B4" s="11">
        <v>45940</v>
      </c>
      <c r="C4" s="5" t="s">
        <v>29</v>
      </c>
      <c r="D4" s="5" t="s">
        <v>30</v>
      </c>
      <c r="E4" s="5" t="s">
        <v>31</v>
      </c>
      <c r="F4" s="5">
        <v>31</v>
      </c>
      <c r="G4" s="5" t="s">
        <v>15</v>
      </c>
      <c r="H4" s="17">
        <v>5200</v>
      </c>
      <c r="I4" s="5">
        <v>3</v>
      </c>
      <c r="J4" s="5" t="s">
        <v>16</v>
      </c>
      <c r="K4" s="5" t="s">
        <v>32</v>
      </c>
      <c r="L4" s="6">
        <v>5</v>
      </c>
      <c r="M4" t="str">
        <f t="shared" si="0"/>
        <v>25-34</v>
      </c>
    </row>
    <row r="5" spans="1:13" x14ac:dyDescent="0.3">
      <c r="A5" s="5">
        <v>1085</v>
      </c>
      <c r="B5" s="11">
        <v>45910</v>
      </c>
      <c r="C5" s="5" t="s">
        <v>29</v>
      </c>
      <c r="D5" s="5" t="s">
        <v>30</v>
      </c>
      <c r="E5" s="5" t="s">
        <v>31</v>
      </c>
      <c r="F5" s="5">
        <v>29</v>
      </c>
      <c r="G5" s="5" t="s">
        <v>15</v>
      </c>
      <c r="H5" s="17">
        <v>4700</v>
      </c>
      <c r="I5" s="5">
        <v>3</v>
      </c>
      <c r="J5" s="5" t="s">
        <v>16</v>
      </c>
      <c r="K5" s="5" t="s">
        <v>32</v>
      </c>
      <c r="L5" s="6">
        <v>5</v>
      </c>
      <c r="M5" t="str">
        <f t="shared" si="0"/>
        <v>25-34</v>
      </c>
    </row>
    <row r="6" spans="1:13" x14ac:dyDescent="0.3">
      <c r="A6" s="5">
        <v>1075</v>
      </c>
      <c r="B6" s="11">
        <v>45878</v>
      </c>
      <c r="C6" s="5" t="s">
        <v>29</v>
      </c>
      <c r="D6" s="5" t="s">
        <v>30</v>
      </c>
      <c r="E6" s="5" t="s">
        <v>31</v>
      </c>
      <c r="F6" s="5">
        <v>33</v>
      </c>
      <c r="G6" s="5" t="s">
        <v>15</v>
      </c>
      <c r="H6" s="17">
        <v>4500</v>
      </c>
      <c r="I6" s="5">
        <v>3</v>
      </c>
      <c r="J6" s="5" t="s">
        <v>16</v>
      </c>
      <c r="K6" s="5" t="s">
        <v>32</v>
      </c>
      <c r="L6" s="6">
        <v>5</v>
      </c>
      <c r="M6" t="str">
        <f t="shared" si="0"/>
        <v>25-34</v>
      </c>
    </row>
    <row r="7" spans="1:13" x14ac:dyDescent="0.3">
      <c r="A7" s="5">
        <v>1119</v>
      </c>
      <c r="B7" s="11">
        <v>46013</v>
      </c>
      <c r="C7" s="5" t="s">
        <v>18</v>
      </c>
      <c r="D7" s="5" t="s">
        <v>26</v>
      </c>
      <c r="E7" s="5" t="s">
        <v>39</v>
      </c>
      <c r="F7" s="5">
        <v>38</v>
      </c>
      <c r="G7" s="5" t="s">
        <v>28</v>
      </c>
      <c r="H7" s="17">
        <v>4500</v>
      </c>
      <c r="I7" s="5">
        <v>2</v>
      </c>
      <c r="J7" s="5" t="s">
        <v>16</v>
      </c>
      <c r="K7" s="5" t="s">
        <v>17</v>
      </c>
      <c r="L7" s="6">
        <v>4.9000000000000004</v>
      </c>
      <c r="M7" t="str">
        <f t="shared" si="0"/>
        <v>35-44</v>
      </c>
    </row>
    <row r="8" spans="1:13" x14ac:dyDescent="0.3">
      <c r="A8" s="5">
        <v>1109</v>
      </c>
      <c r="B8" s="11">
        <v>45983</v>
      </c>
      <c r="C8" s="5" t="s">
        <v>18</v>
      </c>
      <c r="D8" s="5" t="s">
        <v>26</v>
      </c>
      <c r="E8" s="5" t="s">
        <v>39</v>
      </c>
      <c r="F8" s="5">
        <v>37</v>
      </c>
      <c r="G8" s="5" t="s">
        <v>28</v>
      </c>
      <c r="H8" s="17">
        <v>4300</v>
      </c>
      <c r="I8" s="5">
        <v>2</v>
      </c>
      <c r="J8" s="5" t="s">
        <v>16</v>
      </c>
      <c r="K8" s="5" t="s">
        <v>17</v>
      </c>
      <c r="L8" s="6">
        <v>4.9000000000000004</v>
      </c>
      <c r="M8" t="str">
        <f t="shared" si="0"/>
        <v>35-44</v>
      </c>
    </row>
    <row r="9" spans="1:13" x14ac:dyDescent="0.3">
      <c r="A9" s="5">
        <v>1065</v>
      </c>
      <c r="B9" s="11">
        <v>45848</v>
      </c>
      <c r="C9" s="5" t="s">
        <v>29</v>
      </c>
      <c r="D9" s="5" t="s">
        <v>30</v>
      </c>
      <c r="E9" s="5" t="s">
        <v>31</v>
      </c>
      <c r="F9" s="5">
        <v>32</v>
      </c>
      <c r="G9" s="5" t="s">
        <v>15</v>
      </c>
      <c r="H9" s="17">
        <v>4200</v>
      </c>
      <c r="I9" s="5">
        <v>3</v>
      </c>
      <c r="J9" s="5" t="s">
        <v>16</v>
      </c>
      <c r="K9" s="5" t="s">
        <v>32</v>
      </c>
      <c r="L9" s="6">
        <v>5</v>
      </c>
      <c r="M9" t="str">
        <f t="shared" si="0"/>
        <v>25-34</v>
      </c>
    </row>
    <row r="10" spans="1:13" x14ac:dyDescent="0.3">
      <c r="A10" s="7">
        <v>1114</v>
      </c>
      <c r="B10" s="15">
        <v>45999</v>
      </c>
      <c r="C10" s="7" t="s">
        <v>12</v>
      </c>
      <c r="D10" s="7" t="s">
        <v>26</v>
      </c>
      <c r="E10" s="7" t="s">
        <v>27</v>
      </c>
      <c r="F10" s="7">
        <v>41</v>
      </c>
      <c r="G10" s="7" t="s">
        <v>28</v>
      </c>
      <c r="H10" s="16">
        <v>4200</v>
      </c>
      <c r="I10" s="7">
        <v>2</v>
      </c>
      <c r="J10" s="7" t="s">
        <v>16</v>
      </c>
      <c r="K10" s="7" t="s">
        <v>22</v>
      </c>
      <c r="L10" s="8">
        <v>4.9000000000000004</v>
      </c>
      <c r="M10" t="str">
        <f t="shared" si="0"/>
        <v>35-44</v>
      </c>
    </row>
    <row r="11" spans="1:13" x14ac:dyDescent="0.3">
      <c r="A11" s="5">
        <v>1099</v>
      </c>
      <c r="B11" s="11">
        <v>45952</v>
      </c>
      <c r="C11" s="5" t="s">
        <v>18</v>
      </c>
      <c r="D11" s="5" t="s">
        <v>26</v>
      </c>
      <c r="E11" s="5" t="s">
        <v>39</v>
      </c>
      <c r="F11" s="5">
        <v>36</v>
      </c>
      <c r="G11" s="5" t="s">
        <v>28</v>
      </c>
      <c r="H11" s="17">
        <v>4100</v>
      </c>
      <c r="I11" s="5">
        <v>2</v>
      </c>
      <c r="J11" s="5" t="s">
        <v>16</v>
      </c>
      <c r="K11" s="5" t="s">
        <v>17</v>
      </c>
      <c r="L11" s="6">
        <v>4.8</v>
      </c>
      <c r="M11" t="str">
        <f t="shared" si="0"/>
        <v>35-44</v>
      </c>
    </row>
    <row r="12" spans="1:13" x14ac:dyDescent="0.3">
      <c r="A12" s="7">
        <v>1104</v>
      </c>
      <c r="B12" s="15">
        <v>45969</v>
      </c>
      <c r="C12" s="7" t="s">
        <v>12</v>
      </c>
      <c r="D12" s="7" t="s">
        <v>26</v>
      </c>
      <c r="E12" s="7" t="s">
        <v>27</v>
      </c>
      <c r="F12" s="7">
        <v>39</v>
      </c>
      <c r="G12" s="7" t="s">
        <v>28</v>
      </c>
      <c r="H12" s="16">
        <v>3950</v>
      </c>
      <c r="I12" s="7">
        <v>2</v>
      </c>
      <c r="J12" s="7" t="s">
        <v>16</v>
      </c>
      <c r="K12" s="7" t="s">
        <v>22</v>
      </c>
      <c r="L12" s="8">
        <v>4.9000000000000004</v>
      </c>
      <c r="M12" t="str">
        <f t="shared" si="0"/>
        <v>35-44</v>
      </c>
    </row>
    <row r="13" spans="1:13" x14ac:dyDescent="0.3">
      <c r="A13" s="5">
        <v>1089</v>
      </c>
      <c r="B13" s="11">
        <v>45922</v>
      </c>
      <c r="C13" s="5" t="s">
        <v>18</v>
      </c>
      <c r="D13" s="5" t="s">
        <v>26</v>
      </c>
      <c r="E13" s="5" t="s">
        <v>39</v>
      </c>
      <c r="F13" s="5">
        <v>35</v>
      </c>
      <c r="G13" s="5" t="s">
        <v>28</v>
      </c>
      <c r="H13" s="17">
        <v>3900</v>
      </c>
      <c r="I13" s="5">
        <v>2</v>
      </c>
      <c r="J13" s="5" t="s">
        <v>16</v>
      </c>
      <c r="K13" s="5" t="s">
        <v>17</v>
      </c>
      <c r="L13" s="6">
        <v>4.8</v>
      </c>
      <c r="M13" t="str">
        <f t="shared" si="0"/>
        <v>35-44</v>
      </c>
    </row>
    <row r="14" spans="1:13" x14ac:dyDescent="0.3">
      <c r="A14" s="5">
        <v>1055</v>
      </c>
      <c r="B14" s="11">
        <v>45817</v>
      </c>
      <c r="C14" s="5" t="s">
        <v>29</v>
      </c>
      <c r="D14" s="5" t="s">
        <v>30</v>
      </c>
      <c r="E14" s="5" t="s">
        <v>31</v>
      </c>
      <c r="F14" s="5">
        <v>34</v>
      </c>
      <c r="G14" s="5" t="s">
        <v>15</v>
      </c>
      <c r="H14" s="17">
        <v>3800</v>
      </c>
      <c r="I14" s="5">
        <v>2</v>
      </c>
      <c r="J14" s="5" t="s">
        <v>16</v>
      </c>
      <c r="K14" s="5" t="s">
        <v>32</v>
      </c>
      <c r="L14" s="6">
        <v>4.9000000000000004</v>
      </c>
      <c r="M14" t="str">
        <f t="shared" si="0"/>
        <v>25-34</v>
      </c>
    </row>
    <row r="15" spans="1:13" x14ac:dyDescent="0.3">
      <c r="A15" s="5">
        <v>1111</v>
      </c>
      <c r="B15" s="11">
        <v>45993</v>
      </c>
      <c r="C15" s="5" t="s">
        <v>12</v>
      </c>
      <c r="D15" s="5" t="s">
        <v>13</v>
      </c>
      <c r="E15" s="5" t="s">
        <v>14</v>
      </c>
      <c r="F15" s="5">
        <v>32</v>
      </c>
      <c r="G15" s="5" t="s">
        <v>15</v>
      </c>
      <c r="H15" s="17">
        <v>3800</v>
      </c>
      <c r="I15" s="5">
        <v>3</v>
      </c>
      <c r="J15" s="5" t="s">
        <v>16</v>
      </c>
      <c r="K15" s="5" t="s">
        <v>17</v>
      </c>
      <c r="L15" s="6">
        <v>5</v>
      </c>
      <c r="M15" t="str">
        <f t="shared" si="0"/>
        <v>25-34</v>
      </c>
    </row>
    <row r="16" spans="1:13" x14ac:dyDescent="0.3">
      <c r="A16" s="5">
        <v>1079</v>
      </c>
      <c r="B16" s="11">
        <v>45890</v>
      </c>
      <c r="C16" s="5" t="s">
        <v>18</v>
      </c>
      <c r="D16" s="5" t="s">
        <v>26</v>
      </c>
      <c r="E16" s="5" t="s">
        <v>39</v>
      </c>
      <c r="F16" s="5">
        <v>39</v>
      </c>
      <c r="G16" s="5" t="s">
        <v>28</v>
      </c>
      <c r="H16" s="17">
        <v>3750</v>
      </c>
      <c r="I16" s="5">
        <v>2</v>
      </c>
      <c r="J16" s="5" t="s">
        <v>16</v>
      </c>
      <c r="K16" s="5" t="s">
        <v>17</v>
      </c>
      <c r="L16" s="6">
        <v>4.8</v>
      </c>
      <c r="M16" t="str">
        <f t="shared" si="0"/>
        <v>35-44</v>
      </c>
    </row>
    <row r="17" spans="1:13" x14ac:dyDescent="0.3">
      <c r="A17" s="7">
        <v>1094</v>
      </c>
      <c r="B17" s="15">
        <v>45938</v>
      </c>
      <c r="C17" s="7" t="s">
        <v>12</v>
      </c>
      <c r="D17" s="7" t="s">
        <v>26</v>
      </c>
      <c r="E17" s="7" t="s">
        <v>27</v>
      </c>
      <c r="F17" s="7">
        <v>42</v>
      </c>
      <c r="G17" s="7" t="s">
        <v>28</v>
      </c>
      <c r="H17" s="16">
        <v>3700</v>
      </c>
      <c r="I17" s="7">
        <v>2</v>
      </c>
      <c r="J17" s="7" t="s">
        <v>16</v>
      </c>
      <c r="K17" s="7" t="s">
        <v>22</v>
      </c>
      <c r="L17" s="8">
        <v>4.8</v>
      </c>
      <c r="M17" t="str">
        <f t="shared" si="0"/>
        <v>35-44</v>
      </c>
    </row>
    <row r="18" spans="1:13" x14ac:dyDescent="0.3">
      <c r="A18" s="7">
        <v>1118</v>
      </c>
      <c r="B18" s="15">
        <v>46010</v>
      </c>
      <c r="C18" s="7" t="s">
        <v>12</v>
      </c>
      <c r="D18" s="7" t="s">
        <v>24</v>
      </c>
      <c r="E18" s="7" t="s">
        <v>38</v>
      </c>
      <c r="F18" s="7">
        <v>33</v>
      </c>
      <c r="G18" s="7" t="s">
        <v>15</v>
      </c>
      <c r="H18" s="16">
        <v>3650</v>
      </c>
      <c r="I18" s="7">
        <v>2</v>
      </c>
      <c r="J18" s="7" t="s">
        <v>16</v>
      </c>
      <c r="K18" s="7" t="s">
        <v>22</v>
      </c>
      <c r="L18" s="8">
        <v>5</v>
      </c>
      <c r="M18" t="str">
        <f t="shared" si="0"/>
        <v>25-34</v>
      </c>
    </row>
    <row r="19" spans="1:13" x14ac:dyDescent="0.3">
      <c r="A19" s="5">
        <v>1069</v>
      </c>
      <c r="B19" s="11">
        <v>45860</v>
      </c>
      <c r="C19" s="5" t="s">
        <v>18</v>
      </c>
      <c r="D19" s="5" t="s">
        <v>26</v>
      </c>
      <c r="E19" s="5" t="s">
        <v>39</v>
      </c>
      <c r="F19" s="5">
        <v>34</v>
      </c>
      <c r="G19" s="5" t="s">
        <v>28</v>
      </c>
      <c r="H19" s="17">
        <v>3600</v>
      </c>
      <c r="I19" s="5">
        <v>2</v>
      </c>
      <c r="J19" s="5" t="s">
        <v>16</v>
      </c>
      <c r="K19" s="5" t="s">
        <v>17</v>
      </c>
      <c r="L19" s="6">
        <v>4.5999999999999996</v>
      </c>
      <c r="M19" t="str">
        <f t="shared" si="0"/>
        <v>25-34</v>
      </c>
    </row>
    <row r="20" spans="1:13" x14ac:dyDescent="0.3">
      <c r="A20" s="5">
        <v>1101</v>
      </c>
      <c r="B20" s="11">
        <v>45963</v>
      </c>
      <c r="C20" s="5" t="s">
        <v>12</v>
      </c>
      <c r="D20" s="5" t="s">
        <v>13</v>
      </c>
      <c r="E20" s="5" t="s">
        <v>14</v>
      </c>
      <c r="F20" s="5">
        <v>30</v>
      </c>
      <c r="G20" s="5" t="s">
        <v>15</v>
      </c>
      <c r="H20" s="17">
        <v>3600</v>
      </c>
      <c r="I20" s="5">
        <v>3</v>
      </c>
      <c r="J20" s="5" t="s">
        <v>16</v>
      </c>
      <c r="K20" s="5" t="s">
        <v>17</v>
      </c>
      <c r="L20" s="6">
        <v>5</v>
      </c>
      <c r="M20" t="str">
        <f t="shared" si="0"/>
        <v>25-34</v>
      </c>
    </row>
    <row r="21" spans="1:13" x14ac:dyDescent="0.3">
      <c r="A21" s="5">
        <v>1035</v>
      </c>
      <c r="B21" s="11">
        <v>45757</v>
      </c>
      <c r="C21" s="5" t="s">
        <v>29</v>
      </c>
      <c r="D21" s="5" t="s">
        <v>30</v>
      </c>
      <c r="E21" s="5" t="s">
        <v>31</v>
      </c>
      <c r="F21" s="5">
        <v>31</v>
      </c>
      <c r="G21" s="5" t="s">
        <v>15</v>
      </c>
      <c r="H21" s="17">
        <v>3500</v>
      </c>
      <c r="I21" s="5">
        <v>2</v>
      </c>
      <c r="J21" s="5" t="s">
        <v>16</v>
      </c>
      <c r="K21" s="5" t="s">
        <v>32</v>
      </c>
      <c r="L21" s="6">
        <v>4.9000000000000004</v>
      </c>
      <c r="M21" t="str">
        <f t="shared" si="0"/>
        <v>25-34</v>
      </c>
    </row>
    <row r="22" spans="1:13" x14ac:dyDescent="0.3">
      <c r="A22" s="7">
        <v>1084</v>
      </c>
      <c r="B22" s="15">
        <v>45908</v>
      </c>
      <c r="C22" s="7" t="s">
        <v>12</v>
      </c>
      <c r="D22" s="7" t="s">
        <v>26</v>
      </c>
      <c r="E22" s="7" t="s">
        <v>27</v>
      </c>
      <c r="F22" s="7">
        <v>44</v>
      </c>
      <c r="G22" s="7" t="s">
        <v>28</v>
      </c>
      <c r="H22" s="16">
        <v>3500</v>
      </c>
      <c r="I22" s="7">
        <v>2</v>
      </c>
      <c r="J22" s="7" t="s">
        <v>16</v>
      </c>
      <c r="K22" s="7" t="s">
        <v>22</v>
      </c>
      <c r="L22" s="8">
        <v>4.8</v>
      </c>
      <c r="M22" t="str">
        <f t="shared" si="0"/>
        <v>35-44</v>
      </c>
    </row>
    <row r="23" spans="1:13" x14ac:dyDescent="0.3">
      <c r="A23" s="5">
        <v>1091</v>
      </c>
      <c r="B23" s="11">
        <v>45932</v>
      </c>
      <c r="C23" s="5" t="s">
        <v>12</v>
      </c>
      <c r="D23" s="5" t="s">
        <v>13</v>
      </c>
      <c r="E23" s="5" t="s">
        <v>14</v>
      </c>
      <c r="F23" s="5">
        <v>29</v>
      </c>
      <c r="G23" s="5" t="s">
        <v>15</v>
      </c>
      <c r="H23" s="17">
        <v>3450</v>
      </c>
      <c r="I23" s="5">
        <v>3</v>
      </c>
      <c r="J23" s="5" t="s">
        <v>16</v>
      </c>
      <c r="K23" s="5" t="s">
        <v>17</v>
      </c>
      <c r="L23" s="6">
        <v>5</v>
      </c>
      <c r="M23" t="str">
        <f t="shared" si="0"/>
        <v>25-34</v>
      </c>
    </row>
    <row r="24" spans="1:13" x14ac:dyDescent="0.3">
      <c r="A24" s="7">
        <v>1064</v>
      </c>
      <c r="B24" s="15">
        <v>45846</v>
      </c>
      <c r="C24" s="7" t="s">
        <v>12</v>
      </c>
      <c r="D24" s="7" t="s">
        <v>26</v>
      </c>
      <c r="E24" s="7" t="s">
        <v>27</v>
      </c>
      <c r="F24" s="7">
        <v>45</v>
      </c>
      <c r="G24" s="7" t="s">
        <v>28</v>
      </c>
      <c r="H24" s="16">
        <v>3400</v>
      </c>
      <c r="I24" s="7">
        <v>2</v>
      </c>
      <c r="J24" s="7" t="s">
        <v>16</v>
      </c>
      <c r="K24" s="7" t="s">
        <v>22</v>
      </c>
      <c r="L24" s="8">
        <v>4.7</v>
      </c>
      <c r="M24" t="str">
        <f t="shared" si="0"/>
        <v>45+</v>
      </c>
    </row>
    <row r="25" spans="1:13" x14ac:dyDescent="0.3">
      <c r="A25" s="7">
        <v>1108</v>
      </c>
      <c r="B25" s="15">
        <v>45980</v>
      </c>
      <c r="C25" s="7" t="s">
        <v>12</v>
      </c>
      <c r="D25" s="7" t="s">
        <v>24</v>
      </c>
      <c r="E25" s="7" t="s">
        <v>38</v>
      </c>
      <c r="F25" s="7">
        <v>31</v>
      </c>
      <c r="G25" s="7" t="s">
        <v>15</v>
      </c>
      <c r="H25" s="16">
        <v>3400</v>
      </c>
      <c r="I25" s="7">
        <v>2</v>
      </c>
      <c r="J25" s="7" t="s">
        <v>16</v>
      </c>
      <c r="K25" s="7" t="s">
        <v>22</v>
      </c>
      <c r="L25" s="8">
        <v>4.9000000000000004</v>
      </c>
      <c r="M25" t="str">
        <f t="shared" si="0"/>
        <v>25-34</v>
      </c>
    </row>
    <row r="26" spans="1:13" x14ac:dyDescent="0.3">
      <c r="A26" s="5">
        <v>1039</v>
      </c>
      <c r="B26" s="11">
        <v>45768</v>
      </c>
      <c r="C26" s="5" t="s">
        <v>18</v>
      </c>
      <c r="D26" s="5" t="s">
        <v>26</v>
      </c>
      <c r="E26" s="5" t="s">
        <v>39</v>
      </c>
      <c r="F26" s="5">
        <v>35</v>
      </c>
      <c r="G26" s="5" t="s">
        <v>28</v>
      </c>
      <c r="H26" s="17">
        <v>3300</v>
      </c>
      <c r="I26" s="5">
        <v>1</v>
      </c>
      <c r="J26" s="5" t="s">
        <v>16</v>
      </c>
      <c r="K26" s="5" t="s">
        <v>17</v>
      </c>
      <c r="L26" s="6">
        <v>4.5</v>
      </c>
      <c r="M26" t="str">
        <f t="shared" si="0"/>
        <v>35-44</v>
      </c>
    </row>
    <row r="27" spans="1:13" x14ac:dyDescent="0.3">
      <c r="A27" s="5">
        <v>1081</v>
      </c>
      <c r="B27" s="11">
        <v>45902</v>
      </c>
      <c r="C27" s="5" t="s">
        <v>12</v>
      </c>
      <c r="D27" s="5" t="s">
        <v>13</v>
      </c>
      <c r="E27" s="5" t="s">
        <v>14</v>
      </c>
      <c r="F27" s="5">
        <v>26</v>
      </c>
      <c r="G27" s="5" t="s">
        <v>15</v>
      </c>
      <c r="H27" s="17">
        <v>3300</v>
      </c>
      <c r="I27" s="5">
        <v>3</v>
      </c>
      <c r="J27" s="5" t="s">
        <v>16</v>
      </c>
      <c r="K27" s="5" t="s">
        <v>17</v>
      </c>
      <c r="L27" s="6">
        <v>4.9000000000000004</v>
      </c>
      <c r="M27" t="str">
        <f t="shared" si="0"/>
        <v>25-34</v>
      </c>
    </row>
    <row r="28" spans="1:13" x14ac:dyDescent="0.3">
      <c r="A28" s="7">
        <v>1074</v>
      </c>
      <c r="B28" s="15">
        <v>45876</v>
      </c>
      <c r="C28" s="7" t="s">
        <v>12</v>
      </c>
      <c r="D28" s="7" t="s">
        <v>26</v>
      </c>
      <c r="E28" s="7" t="s">
        <v>27</v>
      </c>
      <c r="F28" s="7">
        <v>40</v>
      </c>
      <c r="G28" s="7" t="s">
        <v>28</v>
      </c>
      <c r="H28" s="16">
        <v>3250</v>
      </c>
      <c r="I28" s="7">
        <v>2</v>
      </c>
      <c r="J28" s="7" t="s">
        <v>16</v>
      </c>
      <c r="K28" s="7" t="s">
        <v>22</v>
      </c>
      <c r="L28" s="8">
        <v>4.7</v>
      </c>
      <c r="M28" t="str">
        <f t="shared" si="0"/>
        <v>35-44</v>
      </c>
    </row>
    <row r="29" spans="1:13" x14ac:dyDescent="0.3">
      <c r="A29" s="5">
        <v>1015</v>
      </c>
      <c r="B29" s="11">
        <v>45702</v>
      </c>
      <c r="C29" s="5" t="s">
        <v>29</v>
      </c>
      <c r="D29" s="5" t="s">
        <v>30</v>
      </c>
      <c r="E29" s="5" t="s">
        <v>31</v>
      </c>
      <c r="F29" s="5">
        <v>28</v>
      </c>
      <c r="G29" s="5" t="s">
        <v>15</v>
      </c>
      <c r="H29" s="17">
        <v>3200</v>
      </c>
      <c r="I29" s="5">
        <v>2</v>
      </c>
      <c r="J29" s="5" t="s">
        <v>16</v>
      </c>
      <c r="K29" s="5" t="s">
        <v>32</v>
      </c>
      <c r="L29" s="6">
        <v>4.8</v>
      </c>
      <c r="M29" t="str">
        <f t="shared" si="0"/>
        <v>25-34</v>
      </c>
    </row>
    <row r="30" spans="1:13" x14ac:dyDescent="0.3">
      <c r="A30" s="7">
        <v>1098</v>
      </c>
      <c r="B30" s="15">
        <v>45949</v>
      </c>
      <c r="C30" s="7" t="s">
        <v>12</v>
      </c>
      <c r="D30" s="7" t="s">
        <v>24</v>
      </c>
      <c r="E30" s="7" t="s">
        <v>38</v>
      </c>
      <c r="F30" s="7">
        <v>30</v>
      </c>
      <c r="G30" s="7" t="s">
        <v>15</v>
      </c>
      <c r="H30" s="16">
        <v>3200</v>
      </c>
      <c r="I30" s="7">
        <v>2</v>
      </c>
      <c r="J30" s="7" t="s">
        <v>16</v>
      </c>
      <c r="K30" s="7" t="s">
        <v>22</v>
      </c>
      <c r="L30" s="8">
        <v>4.9000000000000004</v>
      </c>
      <c r="M30" t="str">
        <f t="shared" si="0"/>
        <v>25-34</v>
      </c>
    </row>
    <row r="31" spans="1:13" x14ac:dyDescent="0.3">
      <c r="A31" s="7">
        <v>1044</v>
      </c>
      <c r="B31" s="15">
        <v>45785</v>
      </c>
      <c r="C31" s="7" t="s">
        <v>12</v>
      </c>
      <c r="D31" s="7" t="s">
        <v>26</v>
      </c>
      <c r="E31" s="7" t="s">
        <v>27</v>
      </c>
      <c r="F31" s="7">
        <v>39</v>
      </c>
      <c r="G31" s="7" t="s">
        <v>28</v>
      </c>
      <c r="H31" s="16">
        <v>3150</v>
      </c>
      <c r="I31" s="7">
        <v>2</v>
      </c>
      <c r="J31" s="7" t="s">
        <v>16</v>
      </c>
      <c r="K31" s="7" t="s">
        <v>22</v>
      </c>
      <c r="L31" s="8">
        <v>4.5999999999999996</v>
      </c>
      <c r="M31" t="str">
        <f t="shared" si="0"/>
        <v>35-44</v>
      </c>
    </row>
    <row r="32" spans="1:13" x14ac:dyDescent="0.3">
      <c r="A32" s="5">
        <v>1029</v>
      </c>
      <c r="B32" s="11">
        <v>45736</v>
      </c>
      <c r="C32" s="5" t="s">
        <v>18</v>
      </c>
      <c r="D32" s="5" t="s">
        <v>26</v>
      </c>
      <c r="E32" s="5" t="s">
        <v>39</v>
      </c>
      <c r="F32" s="5">
        <v>36</v>
      </c>
      <c r="G32" s="5" t="s">
        <v>28</v>
      </c>
      <c r="H32" s="17">
        <v>3100</v>
      </c>
      <c r="I32" s="5">
        <v>2</v>
      </c>
      <c r="J32" s="5" t="s">
        <v>16</v>
      </c>
      <c r="K32" s="5" t="s">
        <v>17</v>
      </c>
      <c r="L32" s="6">
        <v>4.5999999999999996</v>
      </c>
      <c r="M32" t="str">
        <f t="shared" si="0"/>
        <v>35-44</v>
      </c>
    </row>
    <row r="33" spans="1:13" x14ac:dyDescent="0.3">
      <c r="A33" s="5">
        <v>1071</v>
      </c>
      <c r="B33" s="11">
        <v>45870</v>
      </c>
      <c r="C33" s="5" t="s">
        <v>12</v>
      </c>
      <c r="D33" s="5" t="s">
        <v>13</v>
      </c>
      <c r="E33" s="5" t="s">
        <v>14</v>
      </c>
      <c r="F33" s="5">
        <v>28</v>
      </c>
      <c r="G33" s="5" t="s">
        <v>15</v>
      </c>
      <c r="H33" s="17">
        <v>3100</v>
      </c>
      <c r="I33" s="5">
        <v>3</v>
      </c>
      <c r="J33" s="5" t="s">
        <v>16</v>
      </c>
      <c r="K33" s="5" t="s">
        <v>17</v>
      </c>
      <c r="L33" s="6">
        <v>4.9000000000000004</v>
      </c>
      <c r="M33" t="str">
        <f t="shared" si="0"/>
        <v>25-34</v>
      </c>
    </row>
    <row r="34" spans="1:13" x14ac:dyDescent="0.3">
      <c r="A34" s="5">
        <v>1113</v>
      </c>
      <c r="B34" s="11">
        <v>45997</v>
      </c>
      <c r="C34" s="5" t="s">
        <v>23</v>
      </c>
      <c r="D34" s="5" t="s">
        <v>24</v>
      </c>
      <c r="E34" s="5" t="s">
        <v>25</v>
      </c>
      <c r="F34" s="5">
        <v>29</v>
      </c>
      <c r="G34" s="5" t="s">
        <v>15</v>
      </c>
      <c r="H34" s="17">
        <v>3100</v>
      </c>
      <c r="I34" s="5">
        <v>3</v>
      </c>
      <c r="J34" s="5" t="s">
        <v>16</v>
      </c>
      <c r="K34" s="5" t="s">
        <v>17</v>
      </c>
      <c r="L34" s="6">
        <v>4.9000000000000004</v>
      </c>
      <c r="M34" t="str">
        <f t="shared" ref="M34:M65" si="1">IF(F34&lt;25,"18-24",IF(F34&lt;35,"25-34",IF(F34&lt;45,"35-44","45+")))</f>
        <v>25-34</v>
      </c>
    </row>
    <row r="35" spans="1:13" x14ac:dyDescent="0.3">
      <c r="A35" s="5">
        <v>1059</v>
      </c>
      <c r="B35" s="11">
        <v>45829</v>
      </c>
      <c r="C35" s="5" t="s">
        <v>18</v>
      </c>
      <c r="D35" s="5" t="s">
        <v>26</v>
      </c>
      <c r="E35" s="5" t="s">
        <v>39</v>
      </c>
      <c r="F35" s="5">
        <v>37</v>
      </c>
      <c r="G35" s="5" t="s">
        <v>28</v>
      </c>
      <c r="H35" s="17">
        <v>3050</v>
      </c>
      <c r="I35" s="5">
        <v>1</v>
      </c>
      <c r="J35" s="5" t="s">
        <v>16</v>
      </c>
      <c r="K35" s="5" t="s">
        <v>17</v>
      </c>
      <c r="L35" s="6">
        <v>4.7</v>
      </c>
      <c r="M35" t="str">
        <f t="shared" si="1"/>
        <v>35-44</v>
      </c>
    </row>
    <row r="36" spans="1:13" x14ac:dyDescent="0.3">
      <c r="A36" s="7">
        <v>1088</v>
      </c>
      <c r="B36" s="15">
        <v>45919</v>
      </c>
      <c r="C36" s="7" t="s">
        <v>12</v>
      </c>
      <c r="D36" s="7" t="s">
        <v>24</v>
      </c>
      <c r="E36" s="7" t="s">
        <v>38</v>
      </c>
      <c r="F36" s="7">
        <v>27</v>
      </c>
      <c r="G36" s="7" t="s">
        <v>15</v>
      </c>
      <c r="H36" s="16">
        <v>3050</v>
      </c>
      <c r="I36" s="7">
        <v>2</v>
      </c>
      <c r="J36" s="7" t="s">
        <v>16</v>
      </c>
      <c r="K36" s="7" t="s">
        <v>22</v>
      </c>
      <c r="L36" s="8">
        <v>4.9000000000000004</v>
      </c>
      <c r="M36" t="str">
        <f t="shared" si="1"/>
        <v>25-34</v>
      </c>
    </row>
    <row r="37" spans="1:13" x14ac:dyDescent="0.3">
      <c r="A37" s="5">
        <v>1061</v>
      </c>
      <c r="B37" s="11">
        <v>45840</v>
      </c>
      <c r="C37" s="5" t="s">
        <v>12</v>
      </c>
      <c r="D37" s="5" t="s">
        <v>13</v>
      </c>
      <c r="E37" s="5" t="s">
        <v>14</v>
      </c>
      <c r="F37" s="5">
        <v>25</v>
      </c>
      <c r="G37" s="5" t="s">
        <v>15</v>
      </c>
      <c r="H37" s="17">
        <v>2950</v>
      </c>
      <c r="I37" s="5">
        <v>3</v>
      </c>
      <c r="J37" s="5" t="s">
        <v>16</v>
      </c>
      <c r="K37" s="5" t="s">
        <v>17</v>
      </c>
      <c r="L37" s="6">
        <v>4.9000000000000004</v>
      </c>
      <c r="M37" t="str">
        <f t="shared" si="1"/>
        <v>25-34</v>
      </c>
    </row>
    <row r="38" spans="1:13" x14ac:dyDescent="0.3">
      <c r="A38" s="7">
        <v>1034</v>
      </c>
      <c r="B38" s="15">
        <v>45755</v>
      </c>
      <c r="C38" s="7" t="s">
        <v>12</v>
      </c>
      <c r="D38" s="7" t="s">
        <v>26</v>
      </c>
      <c r="E38" s="7" t="s">
        <v>27</v>
      </c>
      <c r="F38" s="7">
        <v>43</v>
      </c>
      <c r="G38" s="7" t="s">
        <v>28</v>
      </c>
      <c r="H38" s="16">
        <v>2900</v>
      </c>
      <c r="I38" s="7">
        <v>2</v>
      </c>
      <c r="J38" s="7" t="s">
        <v>16</v>
      </c>
      <c r="K38" s="7" t="s">
        <v>22</v>
      </c>
      <c r="L38" s="8">
        <v>4.7</v>
      </c>
      <c r="M38" t="str">
        <f t="shared" si="1"/>
        <v>35-44</v>
      </c>
    </row>
    <row r="39" spans="1:13" x14ac:dyDescent="0.3">
      <c r="A39" s="5">
        <v>1045</v>
      </c>
      <c r="B39" s="11">
        <v>45787</v>
      </c>
      <c r="C39" s="5" t="s">
        <v>29</v>
      </c>
      <c r="D39" s="5" t="s">
        <v>30</v>
      </c>
      <c r="E39" s="5" t="s">
        <v>31</v>
      </c>
      <c r="F39" s="5">
        <v>29</v>
      </c>
      <c r="G39" s="5" t="s">
        <v>15</v>
      </c>
      <c r="H39" s="17">
        <v>2900</v>
      </c>
      <c r="I39" s="5">
        <v>2</v>
      </c>
      <c r="J39" s="5" t="s">
        <v>16</v>
      </c>
      <c r="K39" s="5" t="s">
        <v>32</v>
      </c>
      <c r="L39" s="6">
        <v>4.8</v>
      </c>
      <c r="M39" t="str">
        <f t="shared" si="1"/>
        <v>25-34</v>
      </c>
    </row>
    <row r="40" spans="1:13" x14ac:dyDescent="0.3">
      <c r="A40" s="7">
        <v>1078</v>
      </c>
      <c r="B40" s="15">
        <v>45887</v>
      </c>
      <c r="C40" s="7" t="s">
        <v>12</v>
      </c>
      <c r="D40" s="7" t="s">
        <v>24</v>
      </c>
      <c r="E40" s="7" t="s">
        <v>38</v>
      </c>
      <c r="F40" s="7">
        <v>29</v>
      </c>
      <c r="G40" s="7" t="s">
        <v>15</v>
      </c>
      <c r="H40" s="16">
        <v>2900</v>
      </c>
      <c r="I40" s="7">
        <v>2</v>
      </c>
      <c r="J40" s="7" t="s">
        <v>16</v>
      </c>
      <c r="K40" s="7" t="s">
        <v>22</v>
      </c>
      <c r="L40" s="8">
        <v>4.9000000000000004</v>
      </c>
      <c r="M40" t="str">
        <f t="shared" si="1"/>
        <v>25-34</v>
      </c>
    </row>
    <row r="41" spans="1:13" x14ac:dyDescent="0.3">
      <c r="A41" s="5">
        <v>1103</v>
      </c>
      <c r="B41" s="11">
        <v>45967</v>
      </c>
      <c r="C41" s="5" t="s">
        <v>23</v>
      </c>
      <c r="D41" s="5" t="s">
        <v>24</v>
      </c>
      <c r="E41" s="5" t="s">
        <v>25</v>
      </c>
      <c r="F41" s="5">
        <v>27</v>
      </c>
      <c r="G41" s="5" t="s">
        <v>15</v>
      </c>
      <c r="H41" s="17">
        <v>2900</v>
      </c>
      <c r="I41" s="5">
        <v>3</v>
      </c>
      <c r="J41" s="5" t="s">
        <v>16</v>
      </c>
      <c r="K41" s="5" t="s">
        <v>17</v>
      </c>
      <c r="L41" s="6">
        <v>4.9000000000000004</v>
      </c>
      <c r="M41" t="str">
        <f t="shared" si="1"/>
        <v>25-34</v>
      </c>
    </row>
    <row r="42" spans="1:13" x14ac:dyDescent="0.3">
      <c r="A42" s="5">
        <v>1049</v>
      </c>
      <c r="B42" s="11">
        <v>45799</v>
      </c>
      <c r="C42" s="5" t="s">
        <v>18</v>
      </c>
      <c r="D42" s="5" t="s">
        <v>26</v>
      </c>
      <c r="E42" s="5" t="s">
        <v>39</v>
      </c>
      <c r="F42" s="5">
        <v>32</v>
      </c>
      <c r="G42" s="5" t="s">
        <v>28</v>
      </c>
      <c r="H42" s="17">
        <v>2850</v>
      </c>
      <c r="I42" s="5">
        <v>1</v>
      </c>
      <c r="J42" s="5" t="s">
        <v>16</v>
      </c>
      <c r="K42" s="5" t="s">
        <v>17</v>
      </c>
      <c r="L42" s="6">
        <v>4.4000000000000004</v>
      </c>
      <c r="M42" t="str">
        <f t="shared" si="1"/>
        <v>25-34</v>
      </c>
    </row>
    <row r="43" spans="1:13" x14ac:dyDescent="0.3">
      <c r="A43" s="7">
        <v>1014</v>
      </c>
      <c r="B43" s="15">
        <v>45699</v>
      </c>
      <c r="C43" s="7" t="s">
        <v>12</v>
      </c>
      <c r="D43" s="7" t="s">
        <v>26</v>
      </c>
      <c r="E43" s="7" t="s">
        <v>27</v>
      </c>
      <c r="F43" s="7">
        <v>42</v>
      </c>
      <c r="G43" s="7" t="s">
        <v>28</v>
      </c>
      <c r="H43" s="16">
        <v>2800</v>
      </c>
      <c r="I43" s="7">
        <v>2</v>
      </c>
      <c r="J43" s="7" t="s">
        <v>16</v>
      </c>
      <c r="K43" s="7" t="s">
        <v>22</v>
      </c>
      <c r="L43" s="8">
        <v>4.5999999999999996</v>
      </c>
      <c r="M43" t="str">
        <f t="shared" si="1"/>
        <v>35-44</v>
      </c>
    </row>
    <row r="44" spans="1:13" x14ac:dyDescent="0.3">
      <c r="A44" s="5">
        <v>1041</v>
      </c>
      <c r="B44" s="11">
        <v>45779</v>
      </c>
      <c r="C44" s="5" t="s">
        <v>12</v>
      </c>
      <c r="D44" s="5" t="s">
        <v>13</v>
      </c>
      <c r="E44" s="5" t="s">
        <v>14</v>
      </c>
      <c r="F44" s="5">
        <v>27</v>
      </c>
      <c r="G44" s="5" t="s">
        <v>15</v>
      </c>
      <c r="H44" s="17">
        <v>2800</v>
      </c>
      <c r="I44" s="5">
        <v>3</v>
      </c>
      <c r="J44" s="5" t="s">
        <v>16</v>
      </c>
      <c r="K44" s="5" t="s">
        <v>17</v>
      </c>
      <c r="L44" s="6">
        <v>4.8</v>
      </c>
      <c r="M44" t="str">
        <f t="shared" si="1"/>
        <v>25-34</v>
      </c>
    </row>
    <row r="45" spans="1:13" x14ac:dyDescent="0.3">
      <c r="A45" s="5">
        <v>1025</v>
      </c>
      <c r="B45" s="11">
        <v>45727</v>
      </c>
      <c r="C45" s="5" t="s">
        <v>29</v>
      </c>
      <c r="D45" s="5" t="s">
        <v>30</v>
      </c>
      <c r="E45" s="5" t="s">
        <v>31</v>
      </c>
      <c r="F45" s="5">
        <v>30</v>
      </c>
      <c r="G45" s="5" t="s">
        <v>15</v>
      </c>
      <c r="H45" s="17">
        <v>2750</v>
      </c>
      <c r="I45" s="5">
        <v>2</v>
      </c>
      <c r="J45" s="5" t="s">
        <v>16</v>
      </c>
      <c r="K45" s="5" t="s">
        <v>32</v>
      </c>
      <c r="L45" s="6">
        <v>4.8</v>
      </c>
      <c r="M45" t="str">
        <f t="shared" si="1"/>
        <v>25-34</v>
      </c>
    </row>
    <row r="46" spans="1:13" x14ac:dyDescent="0.3">
      <c r="A46" s="7">
        <v>1054</v>
      </c>
      <c r="B46" s="15">
        <v>45815</v>
      </c>
      <c r="C46" s="7" t="s">
        <v>12</v>
      </c>
      <c r="D46" s="7" t="s">
        <v>26</v>
      </c>
      <c r="E46" s="7" t="s">
        <v>27</v>
      </c>
      <c r="F46" s="7">
        <v>41</v>
      </c>
      <c r="G46" s="7" t="s">
        <v>28</v>
      </c>
      <c r="H46" s="16">
        <v>2750</v>
      </c>
      <c r="I46" s="7">
        <v>2</v>
      </c>
      <c r="J46" s="7" t="s">
        <v>16</v>
      </c>
      <c r="K46" s="7" t="s">
        <v>22</v>
      </c>
      <c r="L46" s="8">
        <v>4.5</v>
      </c>
      <c r="M46" t="str">
        <f t="shared" si="1"/>
        <v>35-44</v>
      </c>
    </row>
    <row r="47" spans="1:13" x14ac:dyDescent="0.3">
      <c r="A47" s="5">
        <v>1019</v>
      </c>
      <c r="B47" s="11">
        <v>45714</v>
      </c>
      <c r="C47" s="5" t="s">
        <v>18</v>
      </c>
      <c r="D47" s="5" t="s">
        <v>26</v>
      </c>
      <c r="E47" s="5" t="s">
        <v>39</v>
      </c>
      <c r="F47" s="5">
        <v>34</v>
      </c>
      <c r="G47" s="5" t="s">
        <v>28</v>
      </c>
      <c r="H47" s="17">
        <v>2700</v>
      </c>
      <c r="I47" s="5">
        <v>1</v>
      </c>
      <c r="J47" s="5" t="s">
        <v>16</v>
      </c>
      <c r="K47" s="5" t="s">
        <v>17</v>
      </c>
      <c r="L47" s="6">
        <v>4.5</v>
      </c>
      <c r="M47" t="str">
        <f t="shared" si="1"/>
        <v>25-34</v>
      </c>
    </row>
    <row r="48" spans="1:13" x14ac:dyDescent="0.3">
      <c r="A48" s="7">
        <v>1068</v>
      </c>
      <c r="B48" s="15">
        <v>45857</v>
      </c>
      <c r="C48" s="7" t="s">
        <v>12</v>
      </c>
      <c r="D48" s="7" t="s">
        <v>24</v>
      </c>
      <c r="E48" s="7" t="s">
        <v>38</v>
      </c>
      <c r="F48" s="7">
        <v>26</v>
      </c>
      <c r="G48" s="7" t="s">
        <v>15</v>
      </c>
      <c r="H48" s="16">
        <v>2700</v>
      </c>
      <c r="I48" s="7">
        <v>2</v>
      </c>
      <c r="J48" s="7" t="s">
        <v>16</v>
      </c>
      <c r="K48" s="7" t="s">
        <v>22</v>
      </c>
      <c r="L48" s="8">
        <v>4.9000000000000004</v>
      </c>
      <c r="M48" t="str">
        <f t="shared" si="1"/>
        <v>25-34</v>
      </c>
    </row>
    <row r="49" spans="1:13" x14ac:dyDescent="0.3">
      <c r="A49" s="5">
        <v>1093</v>
      </c>
      <c r="B49" s="11">
        <v>45936</v>
      </c>
      <c r="C49" s="5" t="s">
        <v>23</v>
      </c>
      <c r="D49" s="5" t="s">
        <v>24</v>
      </c>
      <c r="E49" s="5" t="s">
        <v>25</v>
      </c>
      <c r="F49" s="5">
        <v>28</v>
      </c>
      <c r="G49" s="5" t="s">
        <v>15</v>
      </c>
      <c r="H49" s="17">
        <v>2700</v>
      </c>
      <c r="I49" s="5">
        <v>3</v>
      </c>
      <c r="J49" s="5" t="s">
        <v>16</v>
      </c>
      <c r="K49" s="5" t="s">
        <v>17</v>
      </c>
      <c r="L49" s="6">
        <v>4.9000000000000004</v>
      </c>
      <c r="M49" t="str">
        <f t="shared" si="1"/>
        <v>25-34</v>
      </c>
    </row>
    <row r="50" spans="1:13" x14ac:dyDescent="0.3">
      <c r="A50" s="5">
        <v>1031</v>
      </c>
      <c r="B50" s="11">
        <v>45749</v>
      </c>
      <c r="C50" s="5" t="s">
        <v>12</v>
      </c>
      <c r="D50" s="5" t="s">
        <v>13</v>
      </c>
      <c r="E50" s="5" t="s">
        <v>14</v>
      </c>
      <c r="F50" s="5">
        <v>24</v>
      </c>
      <c r="G50" s="5" t="s">
        <v>15</v>
      </c>
      <c r="H50" s="17">
        <v>2600</v>
      </c>
      <c r="I50" s="5">
        <v>3</v>
      </c>
      <c r="J50" s="5" t="s">
        <v>16</v>
      </c>
      <c r="K50" s="5" t="s">
        <v>17</v>
      </c>
      <c r="L50" s="6">
        <v>4.9000000000000004</v>
      </c>
      <c r="M50" t="str">
        <f t="shared" si="1"/>
        <v>18-24</v>
      </c>
    </row>
    <row r="51" spans="1:13" x14ac:dyDescent="0.3">
      <c r="A51" s="7">
        <v>1048</v>
      </c>
      <c r="B51" s="15">
        <v>45796</v>
      </c>
      <c r="C51" s="7" t="s">
        <v>12</v>
      </c>
      <c r="D51" s="7" t="s">
        <v>24</v>
      </c>
      <c r="E51" s="7" t="s">
        <v>38</v>
      </c>
      <c r="F51" s="7">
        <v>30</v>
      </c>
      <c r="G51" s="7" t="s">
        <v>15</v>
      </c>
      <c r="H51" s="16">
        <v>2550</v>
      </c>
      <c r="I51" s="7">
        <v>2</v>
      </c>
      <c r="J51" s="7" t="s">
        <v>16</v>
      </c>
      <c r="K51" s="7" t="s">
        <v>22</v>
      </c>
      <c r="L51" s="8">
        <v>4.9000000000000004</v>
      </c>
      <c r="M51" t="str">
        <f t="shared" si="1"/>
        <v>25-34</v>
      </c>
    </row>
    <row r="52" spans="1:13" x14ac:dyDescent="0.3">
      <c r="A52" s="5">
        <v>1083</v>
      </c>
      <c r="B52" s="11">
        <v>45906</v>
      </c>
      <c r="C52" s="5" t="s">
        <v>23</v>
      </c>
      <c r="D52" s="5" t="s">
        <v>24</v>
      </c>
      <c r="E52" s="5" t="s">
        <v>25</v>
      </c>
      <c r="F52" s="5">
        <v>25</v>
      </c>
      <c r="G52" s="5" t="s">
        <v>15</v>
      </c>
      <c r="H52" s="17">
        <v>2550</v>
      </c>
      <c r="I52" s="5">
        <v>3</v>
      </c>
      <c r="J52" s="5" t="s">
        <v>16</v>
      </c>
      <c r="K52" s="5" t="s">
        <v>17</v>
      </c>
      <c r="L52" s="6">
        <v>4.8</v>
      </c>
      <c r="M52" t="str">
        <f t="shared" si="1"/>
        <v>25-34</v>
      </c>
    </row>
    <row r="53" spans="1:13" x14ac:dyDescent="0.3">
      <c r="A53" s="5">
        <v>1009</v>
      </c>
      <c r="B53" s="11">
        <v>45682</v>
      </c>
      <c r="C53" s="5" t="s">
        <v>18</v>
      </c>
      <c r="D53" s="5" t="s">
        <v>26</v>
      </c>
      <c r="E53" s="5" t="s">
        <v>39</v>
      </c>
      <c r="F53" s="5">
        <v>33</v>
      </c>
      <c r="G53" s="5" t="s">
        <v>28</v>
      </c>
      <c r="H53" s="17">
        <v>2500</v>
      </c>
      <c r="I53" s="5">
        <v>1</v>
      </c>
      <c r="J53" s="5" t="s">
        <v>16</v>
      </c>
      <c r="K53" s="5" t="s">
        <v>17</v>
      </c>
      <c r="L53" s="6">
        <v>4.4000000000000004</v>
      </c>
      <c r="M53" t="str">
        <f t="shared" si="1"/>
        <v>25-34</v>
      </c>
    </row>
    <row r="54" spans="1:13" x14ac:dyDescent="0.3">
      <c r="A54" s="7">
        <v>1024</v>
      </c>
      <c r="B54" s="15">
        <v>45725</v>
      </c>
      <c r="C54" s="7" t="s">
        <v>12</v>
      </c>
      <c r="D54" s="7" t="s">
        <v>26</v>
      </c>
      <c r="E54" s="7" t="s">
        <v>27</v>
      </c>
      <c r="F54" s="7">
        <v>38</v>
      </c>
      <c r="G54" s="7" t="s">
        <v>28</v>
      </c>
      <c r="H54" s="16">
        <v>2450</v>
      </c>
      <c r="I54" s="7">
        <v>2</v>
      </c>
      <c r="J54" s="7" t="s">
        <v>16</v>
      </c>
      <c r="K54" s="7" t="s">
        <v>22</v>
      </c>
      <c r="L54" s="8">
        <v>4.3</v>
      </c>
      <c r="M54" t="str">
        <f t="shared" si="1"/>
        <v>35-44</v>
      </c>
    </row>
    <row r="55" spans="1:13" x14ac:dyDescent="0.3">
      <c r="A55" s="5">
        <v>1073</v>
      </c>
      <c r="B55" s="11">
        <v>45874</v>
      </c>
      <c r="C55" s="5" t="s">
        <v>23</v>
      </c>
      <c r="D55" s="5" t="s">
        <v>24</v>
      </c>
      <c r="E55" s="5" t="s">
        <v>25</v>
      </c>
      <c r="F55" s="5">
        <v>27</v>
      </c>
      <c r="G55" s="5" t="s">
        <v>15</v>
      </c>
      <c r="H55" s="17">
        <v>2450</v>
      </c>
      <c r="I55" s="5">
        <v>3</v>
      </c>
      <c r="J55" s="5" t="s">
        <v>16</v>
      </c>
      <c r="K55" s="5" t="s">
        <v>17</v>
      </c>
      <c r="L55" s="6">
        <v>4.8</v>
      </c>
      <c r="M55" t="str">
        <f t="shared" si="1"/>
        <v>25-34</v>
      </c>
    </row>
    <row r="56" spans="1:13" x14ac:dyDescent="0.3">
      <c r="A56" s="5">
        <v>1011</v>
      </c>
      <c r="B56" s="11">
        <v>45690</v>
      </c>
      <c r="C56" s="5" t="s">
        <v>12</v>
      </c>
      <c r="D56" s="5" t="s">
        <v>13</v>
      </c>
      <c r="E56" s="5" t="s">
        <v>14</v>
      </c>
      <c r="F56" s="5">
        <v>25</v>
      </c>
      <c r="G56" s="5" t="s">
        <v>15</v>
      </c>
      <c r="H56" s="17">
        <v>2400</v>
      </c>
      <c r="I56" s="5">
        <v>3</v>
      </c>
      <c r="J56" s="5" t="s">
        <v>16</v>
      </c>
      <c r="K56" s="5" t="s">
        <v>17</v>
      </c>
      <c r="L56" s="6">
        <v>4.9000000000000004</v>
      </c>
      <c r="M56" t="str">
        <f t="shared" si="1"/>
        <v>25-34</v>
      </c>
    </row>
    <row r="57" spans="1:13" x14ac:dyDescent="0.3">
      <c r="A57" s="7">
        <v>1038</v>
      </c>
      <c r="B57" s="15">
        <v>45765</v>
      </c>
      <c r="C57" s="7" t="s">
        <v>12</v>
      </c>
      <c r="D57" s="7" t="s">
        <v>24</v>
      </c>
      <c r="E57" s="7" t="s">
        <v>38</v>
      </c>
      <c r="F57" s="7">
        <v>28</v>
      </c>
      <c r="G57" s="7" t="s">
        <v>15</v>
      </c>
      <c r="H57" s="16">
        <v>2400</v>
      </c>
      <c r="I57" s="7">
        <v>2</v>
      </c>
      <c r="J57" s="7" t="s">
        <v>16</v>
      </c>
      <c r="K57" s="7" t="s">
        <v>22</v>
      </c>
      <c r="L57" s="8">
        <v>4.8</v>
      </c>
      <c r="M57" t="str">
        <f t="shared" si="1"/>
        <v>25-34</v>
      </c>
    </row>
    <row r="58" spans="1:13" x14ac:dyDescent="0.3">
      <c r="A58" s="7">
        <v>1018</v>
      </c>
      <c r="B58" s="15">
        <v>45711</v>
      </c>
      <c r="C58" s="7" t="s">
        <v>12</v>
      </c>
      <c r="D58" s="7" t="s">
        <v>24</v>
      </c>
      <c r="E58" s="7" t="s">
        <v>38</v>
      </c>
      <c r="F58" s="7">
        <v>29</v>
      </c>
      <c r="G58" s="7" t="s">
        <v>15</v>
      </c>
      <c r="H58" s="16">
        <v>2300</v>
      </c>
      <c r="I58" s="7">
        <v>2</v>
      </c>
      <c r="J58" s="7" t="s">
        <v>16</v>
      </c>
      <c r="K58" s="7" t="s">
        <v>22</v>
      </c>
      <c r="L58" s="8">
        <v>4.7</v>
      </c>
      <c r="M58" t="str">
        <f t="shared" si="1"/>
        <v>25-34</v>
      </c>
    </row>
    <row r="59" spans="1:13" x14ac:dyDescent="0.3">
      <c r="A59" s="5">
        <v>1063</v>
      </c>
      <c r="B59" s="11">
        <v>45844</v>
      </c>
      <c r="C59" s="5" t="s">
        <v>23</v>
      </c>
      <c r="D59" s="5" t="s">
        <v>24</v>
      </c>
      <c r="E59" s="5" t="s">
        <v>25</v>
      </c>
      <c r="F59" s="5">
        <v>29</v>
      </c>
      <c r="G59" s="5" t="s">
        <v>15</v>
      </c>
      <c r="H59" s="17">
        <v>2300</v>
      </c>
      <c r="I59" s="5">
        <v>3</v>
      </c>
      <c r="J59" s="5" t="s">
        <v>16</v>
      </c>
      <c r="K59" s="5" t="s">
        <v>17</v>
      </c>
      <c r="L59" s="6">
        <v>4.8</v>
      </c>
      <c r="M59" t="str">
        <f t="shared" si="1"/>
        <v>25-34</v>
      </c>
    </row>
    <row r="60" spans="1:13" x14ac:dyDescent="0.3">
      <c r="A60" s="5">
        <v>1051</v>
      </c>
      <c r="B60" s="11">
        <v>45809</v>
      </c>
      <c r="C60" s="5" t="s">
        <v>12</v>
      </c>
      <c r="D60" s="5" t="s">
        <v>13</v>
      </c>
      <c r="E60" s="5" t="s">
        <v>14</v>
      </c>
      <c r="F60" s="5">
        <v>23</v>
      </c>
      <c r="G60" s="5" t="s">
        <v>15</v>
      </c>
      <c r="H60" s="17">
        <v>2250</v>
      </c>
      <c r="I60" s="5">
        <v>2</v>
      </c>
      <c r="J60" s="5" t="s">
        <v>16</v>
      </c>
      <c r="K60" s="5" t="s">
        <v>17</v>
      </c>
      <c r="L60" s="6">
        <v>4.7</v>
      </c>
      <c r="M60" t="str">
        <f t="shared" si="1"/>
        <v>18-24</v>
      </c>
    </row>
    <row r="61" spans="1:13" x14ac:dyDescent="0.3">
      <c r="A61" s="7">
        <v>1004</v>
      </c>
      <c r="B61" s="15">
        <v>45665</v>
      </c>
      <c r="C61" s="7" t="s">
        <v>12</v>
      </c>
      <c r="D61" s="7" t="s">
        <v>26</v>
      </c>
      <c r="E61" s="7" t="s">
        <v>27</v>
      </c>
      <c r="F61" s="7">
        <v>35</v>
      </c>
      <c r="G61" s="7" t="s">
        <v>28</v>
      </c>
      <c r="H61" s="16">
        <v>2200</v>
      </c>
      <c r="I61" s="7">
        <v>2</v>
      </c>
      <c r="J61" s="7" t="s">
        <v>21</v>
      </c>
      <c r="K61" s="7" t="s">
        <v>22</v>
      </c>
      <c r="L61" s="8">
        <v>4.2</v>
      </c>
      <c r="M61" t="str">
        <f t="shared" si="1"/>
        <v>35-44</v>
      </c>
    </row>
    <row r="62" spans="1:13" x14ac:dyDescent="0.3">
      <c r="A62" s="7">
        <v>1058</v>
      </c>
      <c r="B62" s="15">
        <v>45826</v>
      </c>
      <c r="C62" s="7" t="s">
        <v>12</v>
      </c>
      <c r="D62" s="7" t="s">
        <v>24</v>
      </c>
      <c r="E62" s="7" t="s">
        <v>38</v>
      </c>
      <c r="F62" s="7">
        <v>27</v>
      </c>
      <c r="G62" s="7" t="s">
        <v>15</v>
      </c>
      <c r="H62" s="16">
        <v>2200</v>
      </c>
      <c r="I62" s="7">
        <v>2</v>
      </c>
      <c r="J62" s="7" t="s">
        <v>16</v>
      </c>
      <c r="K62" s="7" t="s">
        <v>22</v>
      </c>
      <c r="L62" s="8">
        <v>4.5999999999999996</v>
      </c>
      <c r="M62" t="str">
        <f t="shared" si="1"/>
        <v>25-34</v>
      </c>
    </row>
    <row r="63" spans="1:13" x14ac:dyDescent="0.3">
      <c r="A63" s="7">
        <v>1008</v>
      </c>
      <c r="B63" s="15">
        <v>45679</v>
      </c>
      <c r="C63" s="7" t="s">
        <v>12</v>
      </c>
      <c r="D63" s="7" t="s">
        <v>24</v>
      </c>
      <c r="E63" s="7" t="s">
        <v>38</v>
      </c>
      <c r="F63" s="7">
        <v>26</v>
      </c>
      <c r="G63" s="7" t="s">
        <v>15</v>
      </c>
      <c r="H63" s="16">
        <v>2100</v>
      </c>
      <c r="I63" s="7">
        <v>2</v>
      </c>
      <c r="J63" s="7" t="s">
        <v>16</v>
      </c>
      <c r="K63" s="7" t="s">
        <v>22</v>
      </c>
      <c r="L63" s="8">
        <v>4.5999999999999996</v>
      </c>
      <c r="M63" t="str">
        <f t="shared" si="1"/>
        <v>25-34</v>
      </c>
    </row>
    <row r="64" spans="1:13" x14ac:dyDescent="0.3">
      <c r="A64" s="5">
        <v>1053</v>
      </c>
      <c r="B64" s="11">
        <v>45813</v>
      </c>
      <c r="C64" s="5" t="s">
        <v>23</v>
      </c>
      <c r="D64" s="5" t="s">
        <v>24</v>
      </c>
      <c r="E64" s="5" t="s">
        <v>25</v>
      </c>
      <c r="F64" s="5">
        <v>26</v>
      </c>
      <c r="G64" s="5" t="s">
        <v>15</v>
      </c>
      <c r="H64" s="17">
        <v>2100</v>
      </c>
      <c r="I64" s="5">
        <v>3</v>
      </c>
      <c r="J64" s="5" t="s">
        <v>16</v>
      </c>
      <c r="K64" s="5" t="s">
        <v>17</v>
      </c>
      <c r="L64" s="6">
        <v>4.8</v>
      </c>
      <c r="M64" t="str">
        <f t="shared" si="1"/>
        <v>25-34</v>
      </c>
    </row>
    <row r="65" spans="1:13" x14ac:dyDescent="0.3">
      <c r="A65" s="7">
        <v>1120</v>
      </c>
      <c r="B65" s="15">
        <v>46016</v>
      </c>
      <c r="C65" s="7" t="s">
        <v>23</v>
      </c>
      <c r="D65" s="7" t="s">
        <v>13</v>
      </c>
      <c r="E65" s="7" t="s">
        <v>40</v>
      </c>
      <c r="F65" s="7">
        <v>36</v>
      </c>
      <c r="G65" s="7" t="s">
        <v>15</v>
      </c>
      <c r="H65" s="16">
        <v>2000</v>
      </c>
      <c r="I65" s="7">
        <v>2</v>
      </c>
      <c r="J65" s="7" t="s">
        <v>21</v>
      </c>
      <c r="K65" s="7" t="s">
        <v>22</v>
      </c>
      <c r="L65" s="8">
        <v>4.8</v>
      </c>
      <c r="M65" t="str">
        <f t="shared" si="1"/>
        <v>35-44</v>
      </c>
    </row>
    <row r="66" spans="1:13" x14ac:dyDescent="0.3">
      <c r="A66" s="7">
        <v>1028</v>
      </c>
      <c r="B66" s="15">
        <v>45733</v>
      </c>
      <c r="C66" s="7" t="s">
        <v>12</v>
      </c>
      <c r="D66" s="7" t="s">
        <v>24</v>
      </c>
      <c r="E66" s="7" t="s">
        <v>38</v>
      </c>
      <c r="F66" s="7">
        <v>27</v>
      </c>
      <c r="G66" s="7" t="s">
        <v>15</v>
      </c>
      <c r="H66" s="16">
        <v>1950</v>
      </c>
      <c r="I66" s="7">
        <v>2</v>
      </c>
      <c r="J66" s="7" t="s">
        <v>16</v>
      </c>
      <c r="K66" s="7" t="s">
        <v>22</v>
      </c>
      <c r="L66" s="8">
        <v>4.5</v>
      </c>
      <c r="M66" t="str">
        <f t="shared" ref="M66:M97" si="2">IF(F66&lt;25,"18-24",IF(F66&lt;35,"25-34",IF(F66&lt;45,"35-44","45+")))</f>
        <v>25-34</v>
      </c>
    </row>
    <row r="67" spans="1:13" x14ac:dyDescent="0.3">
      <c r="A67" s="5">
        <v>1043</v>
      </c>
      <c r="B67" s="11">
        <v>45783</v>
      </c>
      <c r="C67" s="5" t="s">
        <v>23</v>
      </c>
      <c r="D67" s="5" t="s">
        <v>24</v>
      </c>
      <c r="E67" s="5" t="s">
        <v>25</v>
      </c>
      <c r="F67" s="5">
        <v>24</v>
      </c>
      <c r="G67" s="5" t="s">
        <v>15</v>
      </c>
      <c r="H67" s="17">
        <v>1900</v>
      </c>
      <c r="I67" s="5">
        <v>3</v>
      </c>
      <c r="J67" s="5" t="s">
        <v>16</v>
      </c>
      <c r="K67" s="5" t="s">
        <v>17</v>
      </c>
      <c r="L67" s="6">
        <v>4.7</v>
      </c>
      <c r="M67" t="str">
        <f t="shared" si="2"/>
        <v>18-24</v>
      </c>
    </row>
    <row r="68" spans="1:13" x14ac:dyDescent="0.3">
      <c r="A68" s="7">
        <v>1110</v>
      </c>
      <c r="B68" s="15">
        <v>45986</v>
      </c>
      <c r="C68" s="7" t="s">
        <v>23</v>
      </c>
      <c r="D68" s="7" t="s">
        <v>13</v>
      </c>
      <c r="E68" s="7" t="s">
        <v>40</v>
      </c>
      <c r="F68" s="7">
        <v>34</v>
      </c>
      <c r="G68" s="7" t="s">
        <v>15</v>
      </c>
      <c r="H68" s="16">
        <v>1900</v>
      </c>
      <c r="I68" s="7">
        <v>2</v>
      </c>
      <c r="J68" s="7" t="s">
        <v>21</v>
      </c>
      <c r="K68" s="7" t="s">
        <v>22</v>
      </c>
      <c r="L68" s="8">
        <v>4.7</v>
      </c>
      <c r="M68" t="str">
        <f t="shared" si="2"/>
        <v>25-34</v>
      </c>
    </row>
    <row r="69" spans="1:13" x14ac:dyDescent="0.3">
      <c r="A69" s="5">
        <v>1021</v>
      </c>
      <c r="B69" s="11">
        <v>45719</v>
      </c>
      <c r="C69" s="5" t="s">
        <v>12</v>
      </c>
      <c r="D69" s="5" t="s">
        <v>13</v>
      </c>
      <c r="E69" s="5" t="s">
        <v>14</v>
      </c>
      <c r="F69" s="5">
        <v>26</v>
      </c>
      <c r="G69" s="5" t="s">
        <v>15</v>
      </c>
      <c r="H69" s="17">
        <v>1850</v>
      </c>
      <c r="I69" s="5">
        <v>2</v>
      </c>
      <c r="J69" s="5" t="s">
        <v>16</v>
      </c>
      <c r="K69" s="5" t="s">
        <v>17</v>
      </c>
      <c r="L69" s="6">
        <v>4.5999999999999996</v>
      </c>
      <c r="M69" t="str">
        <f t="shared" si="2"/>
        <v>25-34</v>
      </c>
    </row>
    <row r="70" spans="1:13" x14ac:dyDescent="0.3">
      <c r="A70" s="5">
        <v>1005</v>
      </c>
      <c r="B70" s="11">
        <v>45669</v>
      </c>
      <c r="C70" s="5" t="s">
        <v>29</v>
      </c>
      <c r="D70" s="5" t="s">
        <v>30</v>
      </c>
      <c r="E70" s="5" t="s">
        <v>31</v>
      </c>
      <c r="F70" s="5">
        <v>29</v>
      </c>
      <c r="G70" s="5" t="s">
        <v>15</v>
      </c>
      <c r="H70" s="17">
        <v>1800</v>
      </c>
      <c r="I70" s="5">
        <v>1</v>
      </c>
      <c r="J70" s="5" t="s">
        <v>16</v>
      </c>
      <c r="K70" s="5" t="s">
        <v>32</v>
      </c>
      <c r="L70" s="6">
        <v>4.8</v>
      </c>
      <c r="M70" t="str">
        <f t="shared" si="2"/>
        <v>25-34</v>
      </c>
    </row>
    <row r="71" spans="1:13" x14ac:dyDescent="0.3">
      <c r="A71" s="7">
        <v>1100</v>
      </c>
      <c r="B71" s="15">
        <v>45955</v>
      </c>
      <c r="C71" s="7" t="s">
        <v>23</v>
      </c>
      <c r="D71" s="7" t="s">
        <v>13</v>
      </c>
      <c r="E71" s="7" t="s">
        <v>40</v>
      </c>
      <c r="F71" s="7">
        <v>33</v>
      </c>
      <c r="G71" s="7" t="s">
        <v>15</v>
      </c>
      <c r="H71" s="16">
        <v>1800</v>
      </c>
      <c r="I71" s="7">
        <v>2</v>
      </c>
      <c r="J71" s="7" t="s">
        <v>21</v>
      </c>
      <c r="K71" s="7" t="s">
        <v>22</v>
      </c>
      <c r="L71" s="8">
        <v>4.5999999999999996</v>
      </c>
      <c r="M71" t="str">
        <f t="shared" si="2"/>
        <v>25-34</v>
      </c>
    </row>
    <row r="72" spans="1:13" x14ac:dyDescent="0.3">
      <c r="A72" s="7">
        <v>1112</v>
      </c>
      <c r="B72" s="15">
        <v>45995</v>
      </c>
      <c r="C72" s="7" t="s">
        <v>18</v>
      </c>
      <c r="D72" s="7" t="s">
        <v>19</v>
      </c>
      <c r="E72" s="7" t="s">
        <v>20</v>
      </c>
      <c r="F72" s="7">
        <v>35</v>
      </c>
      <c r="G72" s="7" t="s">
        <v>15</v>
      </c>
      <c r="H72" s="16">
        <v>1800</v>
      </c>
      <c r="I72" s="7">
        <v>2</v>
      </c>
      <c r="J72" s="7" t="s">
        <v>21</v>
      </c>
      <c r="K72" s="7" t="s">
        <v>22</v>
      </c>
      <c r="L72" s="8">
        <v>4.5999999999999996</v>
      </c>
      <c r="M72" t="str">
        <f t="shared" si="2"/>
        <v>35-44</v>
      </c>
    </row>
    <row r="73" spans="1:13" x14ac:dyDescent="0.3">
      <c r="A73" s="5">
        <v>1033</v>
      </c>
      <c r="B73" s="11">
        <v>45753</v>
      </c>
      <c r="C73" s="5" t="s">
        <v>23</v>
      </c>
      <c r="D73" s="5" t="s">
        <v>24</v>
      </c>
      <c r="E73" s="5" t="s">
        <v>25</v>
      </c>
      <c r="F73" s="5">
        <v>25</v>
      </c>
      <c r="G73" s="5" t="s">
        <v>15</v>
      </c>
      <c r="H73" s="17">
        <v>1750</v>
      </c>
      <c r="I73" s="5">
        <v>3</v>
      </c>
      <c r="J73" s="5" t="s">
        <v>16</v>
      </c>
      <c r="K73" s="5" t="s">
        <v>17</v>
      </c>
      <c r="L73" s="6">
        <v>4.5999999999999996</v>
      </c>
      <c r="M73" t="str">
        <f t="shared" si="2"/>
        <v>25-34</v>
      </c>
    </row>
    <row r="74" spans="1:13" x14ac:dyDescent="0.3">
      <c r="A74" s="7">
        <v>1090</v>
      </c>
      <c r="B74" s="15">
        <v>45925</v>
      </c>
      <c r="C74" s="7" t="s">
        <v>23</v>
      </c>
      <c r="D74" s="7" t="s">
        <v>13</v>
      </c>
      <c r="E74" s="7" t="s">
        <v>40</v>
      </c>
      <c r="F74" s="7">
        <v>37</v>
      </c>
      <c r="G74" s="7" t="s">
        <v>15</v>
      </c>
      <c r="H74" s="16">
        <v>1750</v>
      </c>
      <c r="I74" s="7">
        <v>2</v>
      </c>
      <c r="J74" s="7" t="s">
        <v>21</v>
      </c>
      <c r="K74" s="7" t="s">
        <v>22</v>
      </c>
      <c r="L74" s="8">
        <v>4.5999999999999996</v>
      </c>
      <c r="M74" t="str">
        <f t="shared" si="2"/>
        <v>35-44</v>
      </c>
    </row>
    <row r="75" spans="1:13" x14ac:dyDescent="0.3">
      <c r="A75" s="7">
        <v>1102</v>
      </c>
      <c r="B75" s="15">
        <v>45965</v>
      </c>
      <c r="C75" s="7" t="s">
        <v>18</v>
      </c>
      <c r="D75" s="7" t="s">
        <v>19</v>
      </c>
      <c r="E75" s="7" t="s">
        <v>20</v>
      </c>
      <c r="F75" s="7">
        <v>32</v>
      </c>
      <c r="G75" s="7" t="s">
        <v>15</v>
      </c>
      <c r="H75" s="16">
        <v>1700</v>
      </c>
      <c r="I75" s="7">
        <v>2</v>
      </c>
      <c r="J75" s="7" t="s">
        <v>21</v>
      </c>
      <c r="K75" s="7" t="s">
        <v>22</v>
      </c>
      <c r="L75" s="8">
        <v>4.5</v>
      </c>
      <c r="M75" t="str">
        <f t="shared" si="2"/>
        <v>25-34</v>
      </c>
    </row>
    <row r="76" spans="1:13" x14ac:dyDescent="0.3">
      <c r="A76" s="5">
        <v>1023</v>
      </c>
      <c r="B76" s="11">
        <v>45723</v>
      </c>
      <c r="C76" s="5" t="s">
        <v>23</v>
      </c>
      <c r="D76" s="5" t="s">
        <v>24</v>
      </c>
      <c r="E76" s="5" t="s">
        <v>25</v>
      </c>
      <c r="F76" s="5">
        <v>28</v>
      </c>
      <c r="G76" s="5" t="s">
        <v>15</v>
      </c>
      <c r="H76" s="17">
        <v>1650</v>
      </c>
      <c r="I76" s="5">
        <v>3</v>
      </c>
      <c r="J76" s="5" t="s">
        <v>16</v>
      </c>
      <c r="K76" s="5" t="s">
        <v>17</v>
      </c>
      <c r="L76" s="6">
        <v>4.7</v>
      </c>
      <c r="M76" t="str">
        <f t="shared" si="2"/>
        <v>25-34</v>
      </c>
    </row>
    <row r="77" spans="1:13" x14ac:dyDescent="0.3">
      <c r="A77" s="7">
        <v>1080</v>
      </c>
      <c r="B77" s="15">
        <v>45893</v>
      </c>
      <c r="C77" s="7" t="s">
        <v>23</v>
      </c>
      <c r="D77" s="7" t="s">
        <v>13</v>
      </c>
      <c r="E77" s="7" t="s">
        <v>40</v>
      </c>
      <c r="F77" s="7">
        <v>35</v>
      </c>
      <c r="G77" s="7" t="s">
        <v>15</v>
      </c>
      <c r="H77" s="16">
        <v>1650</v>
      </c>
      <c r="I77" s="7">
        <v>2</v>
      </c>
      <c r="J77" s="7" t="s">
        <v>21</v>
      </c>
      <c r="K77" s="7" t="s">
        <v>22</v>
      </c>
      <c r="L77" s="8">
        <v>4.5</v>
      </c>
      <c r="M77" t="str">
        <f t="shared" si="2"/>
        <v>35-44</v>
      </c>
    </row>
    <row r="78" spans="1:13" x14ac:dyDescent="0.3">
      <c r="A78" s="7">
        <v>1092</v>
      </c>
      <c r="B78" s="15">
        <v>45934</v>
      </c>
      <c r="C78" s="7" t="s">
        <v>18</v>
      </c>
      <c r="D78" s="7" t="s">
        <v>19</v>
      </c>
      <c r="E78" s="7" t="s">
        <v>20</v>
      </c>
      <c r="F78" s="7">
        <v>34</v>
      </c>
      <c r="G78" s="7" t="s">
        <v>15</v>
      </c>
      <c r="H78" s="16">
        <v>1600</v>
      </c>
      <c r="I78" s="7">
        <v>2</v>
      </c>
      <c r="J78" s="7" t="s">
        <v>21</v>
      </c>
      <c r="K78" s="7" t="s">
        <v>22</v>
      </c>
      <c r="L78" s="8">
        <v>4.4000000000000004</v>
      </c>
      <c r="M78" t="str">
        <f t="shared" si="2"/>
        <v>25-34</v>
      </c>
    </row>
    <row r="79" spans="1:13" x14ac:dyDescent="0.3">
      <c r="A79" s="7">
        <v>1070</v>
      </c>
      <c r="B79" s="15">
        <v>45863</v>
      </c>
      <c r="C79" s="7" t="s">
        <v>23</v>
      </c>
      <c r="D79" s="7" t="s">
        <v>13</v>
      </c>
      <c r="E79" s="7" t="s">
        <v>40</v>
      </c>
      <c r="F79" s="7">
        <v>38</v>
      </c>
      <c r="G79" s="7" t="s">
        <v>15</v>
      </c>
      <c r="H79" s="16">
        <v>1550</v>
      </c>
      <c r="I79" s="7">
        <v>2</v>
      </c>
      <c r="J79" s="7" t="s">
        <v>21</v>
      </c>
      <c r="K79" s="7" t="s">
        <v>22</v>
      </c>
      <c r="L79" s="8">
        <v>4.5</v>
      </c>
      <c r="M79" t="str">
        <f t="shared" si="2"/>
        <v>35-44</v>
      </c>
    </row>
    <row r="80" spans="1:13" x14ac:dyDescent="0.3">
      <c r="A80" s="5">
        <v>1117</v>
      </c>
      <c r="B80" s="11">
        <v>46007</v>
      </c>
      <c r="C80" s="5" t="s">
        <v>35</v>
      </c>
      <c r="D80" s="5" t="s">
        <v>19</v>
      </c>
      <c r="E80" s="5" t="s">
        <v>36</v>
      </c>
      <c r="F80" s="5">
        <v>44</v>
      </c>
      <c r="G80" s="5" t="s">
        <v>28</v>
      </c>
      <c r="H80" s="17">
        <v>1550</v>
      </c>
      <c r="I80" s="5">
        <v>2</v>
      </c>
      <c r="J80" s="5" t="s">
        <v>16</v>
      </c>
      <c r="K80" s="5" t="s">
        <v>17</v>
      </c>
      <c r="L80" s="6">
        <v>4.5</v>
      </c>
      <c r="M80" t="str">
        <f t="shared" si="2"/>
        <v>35-44</v>
      </c>
    </row>
    <row r="81" spans="1:13" x14ac:dyDescent="0.3">
      <c r="A81" s="5">
        <v>1003</v>
      </c>
      <c r="B81" s="11">
        <v>45662</v>
      </c>
      <c r="C81" s="5" t="s">
        <v>23</v>
      </c>
      <c r="D81" s="5" t="s">
        <v>24</v>
      </c>
      <c r="E81" s="5" t="s">
        <v>25</v>
      </c>
      <c r="F81" s="5">
        <v>27</v>
      </c>
      <c r="G81" s="5" t="s">
        <v>15</v>
      </c>
      <c r="H81" s="17">
        <v>1500</v>
      </c>
      <c r="I81" s="5">
        <v>3</v>
      </c>
      <c r="J81" s="5" t="s">
        <v>16</v>
      </c>
      <c r="K81" s="5" t="s">
        <v>17</v>
      </c>
      <c r="L81" s="6">
        <v>4.7</v>
      </c>
      <c r="M81" t="str">
        <f t="shared" si="2"/>
        <v>25-34</v>
      </c>
    </row>
    <row r="82" spans="1:13" x14ac:dyDescent="0.3">
      <c r="A82" s="7">
        <v>1082</v>
      </c>
      <c r="B82" s="15">
        <v>45904</v>
      </c>
      <c r="C82" s="7" t="s">
        <v>18</v>
      </c>
      <c r="D82" s="7" t="s">
        <v>19</v>
      </c>
      <c r="E82" s="7" t="s">
        <v>20</v>
      </c>
      <c r="F82" s="7">
        <v>30</v>
      </c>
      <c r="G82" s="7" t="s">
        <v>15</v>
      </c>
      <c r="H82" s="16">
        <v>1500</v>
      </c>
      <c r="I82" s="7">
        <v>2</v>
      </c>
      <c r="J82" s="7" t="s">
        <v>21</v>
      </c>
      <c r="K82" s="7" t="s">
        <v>22</v>
      </c>
      <c r="L82" s="8">
        <v>4.3</v>
      </c>
      <c r="M82" t="str">
        <f t="shared" si="2"/>
        <v>25-34</v>
      </c>
    </row>
    <row r="83" spans="1:13" x14ac:dyDescent="0.3">
      <c r="A83" s="5">
        <v>1107</v>
      </c>
      <c r="B83" s="11">
        <v>45977</v>
      </c>
      <c r="C83" s="5" t="s">
        <v>35</v>
      </c>
      <c r="D83" s="5" t="s">
        <v>19</v>
      </c>
      <c r="E83" s="17" t="s">
        <v>36</v>
      </c>
      <c r="F83" s="5">
        <v>43</v>
      </c>
      <c r="G83" s="5" t="s">
        <v>28</v>
      </c>
      <c r="H83" s="17">
        <v>1500</v>
      </c>
      <c r="I83" s="5">
        <v>2</v>
      </c>
      <c r="J83" s="5" t="s">
        <v>16</v>
      </c>
      <c r="K83" s="5" t="s">
        <v>17</v>
      </c>
      <c r="L83" s="6">
        <v>4.4000000000000004</v>
      </c>
      <c r="M83" t="str">
        <f t="shared" si="2"/>
        <v>35-44</v>
      </c>
    </row>
    <row r="84" spans="1:13" x14ac:dyDescent="0.3">
      <c r="A84" s="7">
        <v>1040</v>
      </c>
      <c r="B84" s="15">
        <v>45772</v>
      </c>
      <c r="C84" s="7" t="s">
        <v>23</v>
      </c>
      <c r="D84" s="7" t="s">
        <v>13</v>
      </c>
      <c r="E84" s="7" t="s">
        <v>40</v>
      </c>
      <c r="F84" s="7">
        <v>40</v>
      </c>
      <c r="G84" s="7" t="s">
        <v>15</v>
      </c>
      <c r="H84" s="16">
        <v>1450</v>
      </c>
      <c r="I84" s="7">
        <v>2</v>
      </c>
      <c r="J84" s="7" t="s">
        <v>21</v>
      </c>
      <c r="K84" s="7" t="s">
        <v>22</v>
      </c>
      <c r="L84" s="8">
        <v>4.3</v>
      </c>
      <c r="M84" t="str">
        <f t="shared" si="2"/>
        <v>35-44</v>
      </c>
    </row>
    <row r="85" spans="1:13" x14ac:dyDescent="0.3">
      <c r="A85" s="7">
        <v>1072</v>
      </c>
      <c r="B85" s="15">
        <v>45872</v>
      </c>
      <c r="C85" s="7" t="s">
        <v>18</v>
      </c>
      <c r="D85" s="7" t="s">
        <v>19</v>
      </c>
      <c r="E85" s="7" t="s">
        <v>20</v>
      </c>
      <c r="F85" s="7">
        <v>31</v>
      </c>
      <c r="G85" s="7" t="s">
        <v>15</v>
      </c>
      <c r="H85" s="16">
        <v>1450</v>
      </c>
      <c r="I85" s="7">
        <v>2</v>
      </c>
      <c r="J85" s="7" t="s">
        <v>21</v>
      </c>
      <c r="K85" s="7" t="s">
        <v>22</v>
      </c>
      <c r="L85" s="8">
        <v>4.4000000000000004</v>
      </c>
      <c r="M85" t="str">
        <f t="shared" si="2"/>
        <v>25-34</v>
      </c>
    </row>
    <row r="86" spans="1:13" x14ac:dyDescent="0.3">
      <c r="A86" s="5">
        <v>1097</v>
      </c>
      <c r="B86" s="11">
        <v>45946</v>
      </c>
      <c r="C86" s="5" t="s">
        <v>35</v>
      </c>
      <c r="D86" s="5" t="s">
        <v>19</v>
      </c>
      <c r="E86" s="5" t="s">
        <v>36</v>
      </c>
      <c r="F86" s="5">
        <v>40</v>
      </c>
      <c r="G86" s="5" t="s">
        <v>28</v>
      </c>
      <c r="H86" s="17">
        <v>1450</v>
      </c>
      <c r="I86" s="5">
        <v>2</v>
      </c>
      <c r="J86" s="5" t="s">
        <v>16</v>
      </c>
      <c r="K86" s="5" t="s">
        <v>17</v>
      </c>
      <c r="L86" s="6">
        <v>4.3</v>
      </c>
      <c r="M86" t="str">
        <f t="shared" si="2"/>
        <v>35-44</v>
      </c>
    </row>
    <row r="87" spans="1:13" x14ac:dyDescent="0.3">
      <c r="A87" s="7">
        <v>1060</v>
      </c>
      <c r="B87" s="15">
        <v>45832</v>
      </c>
      <c r="C87" s="7" t="s">
        <v>23</v>
      </c>
      <c r="D87" s="7" t="s">
        <v>13</v>
      </c>
      <c r="E87" s="7" t="s">
        <v>40</v>
      </c>
      <c r="F87" s="7">
        <v>31</v>
      </c>
      <c r="G87" s="7" t="s">
        <v>15</v>
      </c>
      <c r="H87" s="16">
        <v>1400</v>
      </c>
      <c r="I87" s="7">
        <v>2</v>
      </c>
      <c r="J87" s="7" t="s">
        <v>21</v>
      </c>
      <c r="K87" s="7" t="s">
        <v>22</v>
      </c>
      <c r="L87" s="8">
        <v>4.4000000000000004</v>
      </c>
      <c r="M87" t="str">
        <f t="shared" si="2"/>
        <v>25-34</v>
      </c>
    </row>
    <row r="88" spans="1:13" x14ac:dyDescent="0.3">
      <c r="A88" s="5">
        <v>1087</v>
      </c>
      <c r="B88" s="11">
        <v>45916</v>
      </c>
      <c r="C88" s="5" t="s">
        <v>35</v>
      </c>
      <c r="D88" s="5" t="s">
        <v>19</v>
      </c>
      <c r="E88" s="5" t="s">
        <v>36</v>
      </c>
      <c r="F88" s="5">
        <v>38</v>
      </c>
      <c r="G88" s="5" t="s">
        <v>28</v>
      </c>
      <c r="H88" s="17">
        <v>1400</v>
      </c>
      <c r="I88" s="5">
        <v>2</v>
      </c>
      <c r="J88" s="5" t="s">
        <v>16</v>
      </c>
      <c r="K88" s="5" t="s">
        <v>17</v>
      </c>
      <c r="L88" s="6">
        <v>4.4000000000000004</v>
      </c>
      <c r="M88" t="str">
        <f t="shared" si="2"/>
        <v>35-44</v>
      </c>
    </row>
    <row r="89" spans="1:13" x14ac:dyDescent="0.3">
      <c r="A89" s="7">
        <v>1030</v>
      </c>
      <c r="B89" s="15">
        <v>45739</v>
      </c>
      <c r="C89" s="7" t="s">
        <v>23</v>
      </c>
      <c r="D89" s="7" t="s">
        <v>13</v>
      </c>
      <c r="E89" s="7" t="s">
        <v>40</v>
      </c>
      <c r="F89" s="7">
        <v>34</v>
      </c>
      <c r="G89" s="7" t="s">
        <v>15</v>
      </c>
      <c r="H89" s="16">
        <v>1350</v>
      </c>
      <c r="I89" s="7">
        <v>2</v>
      </c>
      <c r="J89" s="7" t="s">
        <v>21</v>
      </c>
      <c r="K89" s="7" t="s">
        <v>22</v>
      </c>
      <c r="L89" s="8">
        <v>4.4000000000000004</v>
      </c>
      <c r="M89" t="str">
        <f t="shared" si="2"/>
        <v>25-34</v>
      </c>
    </row>
    <row r="90" spans="1:13" x14ac:dyDescent="0.3">
      <c r="A90" s="7">
        <v>1062</v>
      </c>
      <c r="B90" s="15">
        <v>45842</v>
      </c>
      <c r="C90" s="7" t="s">
        <v>18</v>
      </c>
      <c r="D90" s="7" t="s">
        <v>19</v>
      </c>
      <c r="E90" s="7" t="s">
        <v>20</v>
      </c>
      <c r="F90" s="7">
        <v>28</v>
      </c>
      <c r="G90" s="7" t="s">
        <v>15</v>
      </c>
      <c r="H90" s="16">
        <v>1350</v>
      </c>
      <c r="I90" s="7">
        <v>2</v>
      </c>
      <c r="J90" s="7" t="s">
        <v>21</v>
      </c>
      <c r="K90" s="7" t="s">
        <v>22</v>
      </c>
      <c r="L90" s="8">
        <v>4.3</v>
      </c>
      <c r="M90" t="str">
        <f t="shared" si="2"/>
        <v>25-34</v>
      </c>
    </row>
    <row r="91" spans="1:13" x14ac:dyDescent="0.3">
      <c r="A91" s="5">
        <v>1077</v>
      </c>
      <c r="B91" s="11">
        <v>45884</v>
      </c>
      <c r="C91" s="5" t="s">
        <v>35</v>
      </c>
      <c r="D91" s="5" t="s">
        <v>19</v>
      </c>
      <c r="E91" s="5" t="s">
        <v>36</v>
      </c>
      <c r="F91" s="5">
        <v>36</v>
      </c>
      <c r="G91" s="5" t="s">
        <v>28</v>
      </c>
      <c r="H91" s="17">
        <v>1320</v>
      </c>
      <c r="I91" s="5">
        <v>2</v>
      </c>
      <c r="J91" s="5" t="s">
        <v>16</v>
      </c>
      <c r="K91" s="5" t="s">
        <v>17</v>
      </c>
      <c r="L91" s="6">
        <v>4.3</v>
      </c>
      <c r="M91" t="str">
        <f t="shared" si="2"/>
        <v>35-44</v>
      </c>
    </row>
    <row r="92" spans="1:13" x14ac:dyDescent="0.3">
      <c r="A92" s="7">
        <v>1012</v>
      </c>
      <c r="B92" s="15">
        <v>45693</v>
      </c>
      <c r="C92" s="7" t="s">
        <v>18</v>
      </c>
      <c r="D92" s="7" t="s">
        <v>19</v>
      </c>
      <c r="E92" s="7" t="s">
        <v>20</v>
      </c>
      <c r="F92" s="7">
        <v>30</v>
      </c>
      <c r="G92" s="7" t="s">
        <v>15</v>
      </c>
      <c r="H92" s="16">
        <v>1300</v>
      </c>
      <c r="I92" s="7">
        <v>2</v>
      </c>
      <c r="J92" s="7" t="s">
        <v>21</v>
      </c>
      <c r="K92" s="7" t="s">
        <v>22</v>
      </c>
      <c r="L92" s="8">
        <v>4.0999999999999996</v>
      </c>
      <c r="M92" t="str">
        <f t="shared" si="2"/>
        <v>25-34</v>
      </c>
    </row>
    <row r="93" spans="1:13" x14ac:dyDescent="0.3">
      <c r="A93" s="7">
        <v>1050</v>
      </c>
      <c r="B93" s="15">
        <v>45802</v>
      </c>
      <c r="C93" s="7" t="s">
        <v>23</v>
      </c>
      <c r="D93" s="7" t="s">
        <v>13</v>
      </c>
      <c r="E93" s="7" t="s">
        <v>40</v>
      </c>
      <c r="F93" s="7">
        <v>36</v>
      </c>
      <c r="G93" s="7" t="s">
        <v>15</v>
      </c>
      <c r="H93" s="16">
        <v>1300</v>
      </c>
      <c r="I93" s="7">
        <v>2</v>
      </c>
      <c r="J93" s="7" t="s">
        <v>21</v>
      </c>
      <c r="K93" s="7" t="s">
        <v>22</v>
      </c>
      <c r="L93" s="8">
        <v>4.2</v>
      </c>
      <c r="M93" t="str">
        <f t="shared" si="2"/>
        <v>35-44</v>
      </c>
    </row>
    <row r="94" spans="1:13" x14ac:dyDescent="0.3">
      <c r="A94" s="5">
        <v>1067</v>
      </c>
      <c r="B94" s="11">
        <v>45854</v>
      </c>
      <c r="C94" s="5" t="s">
        <v>35</v>
      </c>
      <c r="D94" s="5" t="s">
        <v>19</v>
      </c>
      <c r="E94" s="5" t="s">
        <v>36</v>
      </c>
      <c r="F94" s="5">
        <v>42</v>
      </c>
      <c r="G94" s="5" t="s">
        <v>28</v>
      </c>
      <c r="H94" s="17">
        <v>1280</v>
      </c>
      <c r="I94" s="5">
        <v>2</v>
      </c>
      <c r="J94" s="5" t="s">
        <v>16</v>
      </c>
      <c r="K94" s="5" t="s">
        <v>17</v>
      </c>
      <c r="L94" s="6">
        <v>4.0999999999999996</v>
      </c>
      <c r="M94" t="str">
        <f t="shared" si="2"/>
        <v>35-44</v>
      </c>
    </row>
    <row r="95" spans="1:13" x14ac:dyDescent="0.3">
      <c r="A95" s="7">
        <v>1020</v>
      </c>
      <c r="B95" s="15">
        <v>45716</v>
      </c>
      <c r="C95" s="7" t="s">
        <v>23</v>
      </c>
      <c r="D95" s="7" t="s">
        <v>13</v>
      </c>
      <c r="E95" s="7" t="s">
        <v>40</v>
      </c>
      <c r="F95" s="7">
        <v>39</v>
      </c>
      <c r="G95" s="7" t="s">
        <v>15</v>
      </c>
      <c r="H95" s="16">
        <v>1250</v>
      </c>
      <c r="I95" s="7">
        <v>2</v>
      </c>
      <c r="J95" s="7" t="s">
        <v>21</v>
      </c>
      <c r="K95" s="7" t="s">
        <v>22</v>
      </c>
      <c r="L95" s="8">
        <v>4.2</v>
      </c>
      <c r="M95" t="str">
        <f t="shared" si="2"/>
        <v>35-44</v>
      </c>
    </row>
    <row r="96" spans="1:13" x14ac:dyDescent="0.3">
      <c r="A96" s="7">
        <v>1032</v>
      </c>
      <c r="B96" s="15">
        <v>45751</v>
      </c>
      <c r="C96" s="7" t="s">
        <v>18</v>
      </c>
      <c r="D96" s="7" t="s">
        <v>19</v>
      </c>
      <c r="E96" s="7" t="s">
        <v>20</v>
      </c>
      <c r="F96" s="7">
        <v>29</v>
      </c>
      <c r="G96" s="7" t="s">
        <v>15</v>
      </c>
      <c r="H96" s="16">
        <v>1250</v>
      </c>
      <c r="I96" s="7">
        <v>2</v>
      </c>
      <c r="J96" s="7" t="s">
        <v>21</v>
      </c>
      <c r="K96" s="7" t="s">
        <v>22</v>
      </c>
      <c r="L96" s="8">
        <v>4</v>
      </c>
      <c r="M96" t="str">
        <f t="shared" si="2"/>
        <v>25-34</v>
      </c>
    </row>
    <row r="97" spans="1:13" x14ac:dyDescent="0.3">
      <c r="A97" s="5">
        <v>1047</v>
      </c>
      <c r="B97" s="11">
        <v>45793</v>
      </c>
      <c r="C97" s="5" t="s">
        <v>35</v>
      </c>
      <c r="D97" s="5" t="s">
        <v>19</v>
      </c>
      <c r="E97" s="5" t="s">
        <v>36</v>
      </c>
      <c r="F97" s="5">
        <v>44</v>
      </c>
      <c r="G97" s="5" t="s">
        <v>28</v>
      </c>
      <c r="H97" s="17">
        <v>1250</v>
      </c>
      <c r="I97" s="5">
        <v>2</v>
      </c>
      <c r="J97" s="5" t="s">
        <v>21</v>
      </c>
      <c r="K97" s="5" t="s">
        <v>17</v>
      </c>
      <c r="L97" s="6">
        <v>4</v>
      </c>
      <c r="M97" t="str">
        <f t="shared" si="2"/>
        <v>35-44</v>
      </c>
    </row>
    <row r="98" spans="1:13" x14ac:dyDescent="0.3">
      <c r="A98" s="5">
        <v>1001</v>
      </c>
      <c r="B98" s="11">
        <v>45658</v>
      </c>
      <c r="C98" s="5" t="s">
        <v>12</v>
      </c>
      <c r="D98" s="12" t="s">
        <v>13</v>
      </c>
      <c r="E98" s="5" t="s">
        <v>14</v>
      </c>
      <c r="F98" s="5">
        <v>24</v>
      </c>
      <c r="G98" s="12" t="s">
        <v>15</v>
      </c>
      <c r="H98" s="13">
        <v>1200</v>
      </c>
      <c r="I98" s="5">
        <v>2</v>
      </c>
      <c r="J98" s="5" t="s">
        <v>16</v>
      </c>
      <c r="K98" s="5" t="s">
        <v>17</v>
      </c>
      <c r="L98" s="14">
        <v>4.5</v>
      </c>
      <c r="M98" t="str">
        <f t="shared" ref="M98:M121" si="3">IF(F98&lt;25,"18-24",IF(F98&lt;35,"25-34",IF(F98&lt;45,"35-44","45+")))</f>
        <v>18-24</v>
      </c>
    </row>
    <row r="99" spans="1:13" x14ac:dyDescent="0.3">
      <c r="A99" s="5">
        <v>1057</v>
      </c>
      <c r="B99" s="11">
        <v>45823</v>
      </c>
      <c r="C99" s="5" t="s">
        <v>35</v>
      </c>
      <c r="D99" s="5" t="s">
        <v>19</v>
      </c>
      <c r="E99" s="5" t="s">
        <v>36</v>
      </c>
      <c r="F99" s="5">
        <v>39</v>
      </c>
      <c r="G99" s="5" t="s">
        <v>28</v>
      </c>
      <c r="H99" s="17">
        <v>1180</v>
      </c>
      <c r="I99" s="5">
        <v>2</v>
      </c>
      <c r="J99" s="5" t="s">
        <v>16</v>
      </c>
      <c r="K99" s="5" t="s">
        <v>17</v>
      </c>
      <c r="L99" s="6">
        <v>4.2</v>
      </c>
      <c r="M99" t="str">
        <f t="shared" si="3"/>
        <v>35-44</v>
      </c>
    </row>
    <row r="100" spans="1:13" x14ac:dyDescent="0.3">
      <c r="A100" s="5">
        <v>1027</v>
      </c>
      <c r="B100" s="11">
        <v>45731</v>
      </c>
      <c r="C100" s="5" t="s">
        <v>35</v>
      </c>
      <c r="D100" s="5" t="s">
        <v>19</v>
      </c>
      <c r="E100" s="5" t="s">
        <v>36</v>
      </c>
      <c r="F100" s="5">
        <v>41</v>
      </c>
      <c r="G100" s="5" t="s">
        <v>28</v>
      </c>
      <c r="H100" s="17">
        <v>1150</v>
      </c>
      <c r="I100" s="5">
        <v>2</v>
      </c>
      <c r="J100" s="5" t="s">
        <v>21</v>
      </c>
      <c r="K100" s="5" t="s">
        <v>17</v>
      </c>
      <c r="L100" s="6">
        <v>4.2</v>
      </c>
      <c r="M100" t="str">
        <f t="shared" si="3"/>
        <v>35-44</v>
      </c>
    </row>
    <row r="101" spans="1:13" x14ac:dyDescent="0.3">
      <c r="A101" s="7">
        <v>1010</v>
      </c>
      <c r="B101" s="15">
        <v>45685</v>
      </c>
      <c r="C101" s="7" t="s">
        <v>23</v>
      </c>
      <c r="D101" s="7" t="s">
        <v>13</v>
      </c>
      <c r="E101" s="7" t="s">
        <v>40</v>
      </c>
      <c r="F101" s="7">
        <v>37</v>
      </c>
      <c r="G101" s="7" t="s">
        <v>15</v>
      </c>
      <c r="H101" s="16">
        <v>1100</v>
      </c>
      <c r="I101" s="7">
        <v>2</v>
      </c>
      <c r="J101" s="7" t="s">
        <v>21</v>
      </c>
      <c r="K101" s="7" t="s">
        <v>22</v>
      </c>
      <c r="L101" s="8">
        <v>4.3</v>
      </c>
      <c r="M101" t="str">
        <f t="shared" si="3"/>
        <v>35-44</v>
      </c>
    </row>
    <row r="102" spans="1:13" x14ac:dyDescent="0.3">
      <c r="A102" s="7">
        <v>1042</v>
      </c>
      <c r="B102" s="15">
        <v>45781</v>
      </c>
      <c r="C102" s="7" t="s">
        <v>18</v>
      </c>
      <c r="D102" s="7" t="s">
        <v>19</v>
      </c>
      <c r="E102" s="7" t="s">
        <v>20</v>
      </c>
      <c r="F102" s="7">
        <v>33</v>
      </c>
      <c r="G102" s="7" t="s">
        <v>15</v>
      </c>
      <c r="H102" s="16">
        <v>1100</v>
      </c>
      <c r="I102" s="7">
        <v>2</v>
      </c>
      <c r="J102" s="7" t="s">
        <v>21</v>
      </c>
      <c r="K102" s="7" t="s">
        <v>22</v>
      </c>
      <c r="L102" s="8">
        <v>4.2</v>
      </c>
      <c r="M102" t="str">
        <f t="shared" si="3"/>
        <v>25-34</v>
      </c>
    </row>
    <row r="103" spans="1:13" x14ac:dyDescent="0.3">
      <c r="A103" s="5">
        <v>1017</v>
      </c>
      <c r="B103" s="11">
        <v>45708</v>
      </c>
      <c r="C103" s="5" t="s">
        <v>35</v>
      </c>
      <c r="D103" s="5" t="s">
        <v>19</v>
      </c>
      <c r="E103" s="5" t="s">
        <v>36</v>
      </c>
      <c r="F103" s="5">
        <v>36</v>
      </c>
      <c r="G103" s="5" t="s">
        <v>28</v>
      </c>
      <c r="H103" s="17">
        <v>1050</v>
      </c>
      <c r="I103" s="5">
        <v>2</v>
      </c>
      <c r="J103" s="5" t="s">
        <v>16</v>
      </c>
      <c r="K103" s="5" t="s">
        <v>17</v>
      </c>
      <c r="L103" s="6">
        <v>4</v>
      </c>
      <c r="M103" t="str">
        <f t="shared" si="3"/>
        <v>35-44</v>
      </c>
    </row>
    <row r="104" spans="1:13" x14ac:dyDescent="0.3">
      <c r="A104" s="7">
        <v>1052</v>
      </c>
      <c r="B104" s="15">
        <v>45811</v>
      </c>
      <c r="C104" s="7" t="s">
        <v>18</v>
      </c>
      <c r="D104" s="7" t="s">
        <v>19</v>
      </c>
      <c r="E104" s="7" t="s">
        <v>20</v>
      </c>
      <c r="F104" s="7">
        <v>35</v>
      </c>
      <c r="G104" s="7" t="s">
        <v>15</v>
      </c>
      <c r="H104" s="16">
        <v>1050</v>
      </c>
      <c r="I104" s="7">
        <v>2</v>
      </c>
      <c r="J104" s="7" t="s">
        <v>21</v>
      </c>
      <c r="K104" s="7" t="s">
        <v>22</v>
      </c>
      <c r="L104" s="8">
        <v>4.0999999999999996</v>
      </c>
      <c r="M104" t="str">
        <f t="shared" si="3"/>
        <v>35-44</v>
      </c>
    </row>
    <row r="105" spans="1:13" x14ac:dyDescent="0.3">
      <c r="A105" s="5">
        <v>1037</v>
      </c>
      <c r="B105" s="11">
        <v>45762</v>
      </c>
      <c r="C105" s="5" t="s">
        <v>35</v>
      </c>
      <c r="D105" s="5" t="s">
        <v>19</v>
      </c>
      <c r="E105" s="5" t="s">
        <v>36</v>
      </c>
      <c r="F105" s="5">
        <v>37</v>
      </c>
      <c r="G105" s="5" t="s">
        <v>28</v>
      </c>
      <c r="H105" s="17">
        <v>980</v>
      </c>
      <c r="I105" s="5">
        <v>2</v>
      </c>
      <c r="J105" s="5" t="s">
        <v>16</v>
      </c>
      <c r="K105" s="5" t="s">
        <v>17</v>
      </c>
      <c r="L105" s="6">
        <v>4.0999999999999996</v>
      </c>
      <c r="M105" t="str">
        <f t="shared" si="3"/>
        <v>35-44</v>
      </c>
    </row>
    <row r="106" spans="1:13" x14ac:dyDescent="0.3">
      <c r="A106" s="7">
        <v>1022</v>
      </c>
      <c r="B106" s="15">
        <v>45721</v>
      </c>
      <c r="C106" s="7" t="s">
        <v>18</v>
      </c>
      <c r="D106" s="7" t="s">
        <v>19</v>
      </c>
      <c r="E106" s="7" t="s">
        <v>20</v>
      </c>
      <c r="F106" s="7">
        <v>32</v>
      </c>
      <c r="G106" s="7" t="s">
        <v>15</v>
      </c>
      <c r="H106" s="16">
        <v>950</v>
      </c>
      <c r="I106" s="7">
        <v>2</v>
      </c>
      <c r="J106" s="7" t="s">
        <v>21</v>
      </c>
      <c r="K106" s="7" t="s">
        <v>22</v>
      </c>
      <c r="L106" s="8">
        <v>4.0999999999999996</v>
      </c>
      <c r="M106" t="str">
        <f t="shared" si="3"/>
        <v>25-34</v>
      </c>
    </row>
    <row r="107" spans="1:13" x14ac:dyDescent="0.3">
      <c r="A107" s="7">
        <v>1116</v>
      </c>
      <c r="B107" s="15">
        <v>46004</v>
      </c>
      <c r="C107" s="7" t="s">
        <v>33</v>
      </c>
      <c r="D107" s="7" t="s">
        <v>13</v>
      </c>
      <c r="E107" s="7" t="s">
        <v>34</v>
      </c>
      <c r="F107" s="7">
        <v>26</v>
      </c>
      <c r="G107" s="7" t="s">
        <v>15</v>
      </c>
      <c r="H107" s="16">
        <v>950</v>
      </c>
      <c r="I107" s="7">
        <v>2</v>
      </c>
      <c r="J107" s="7" t="s">
        <v>21</v>
      </c>
      <c r="K107" s="7" t="s">
        <v>37</v>
      </c>
      <c r="L107" s="8">
        <v>4.3</v>
      </c>
      <c r="M107" t="str">
        <f t="shared" si="3"/>
        <v>25-34</v>
      </c>
    </row>
    <row r="108" spans="1:13" x14ac:dyDescent="0.3">
      <c r="A108" s="5">
        <v>1007</v>
      </c>
      <c r="B108" s="11">
        <v>45675</v>
      </c>
      <c r="C108" s="5" t="s">
        <v>35</v>
      </c>
      <c r="D108" s="5" t="s">
        <v>19</v>
      </c>
      <c r="E108" s="5" t="s">
        <v>36</v>
      </c>
      <c r="F108" s="5">
        <v>40</v>
      </c>
      <c r="G108" s="5" t="s">
        <v>28</v>
      </c>
      <c r="H108" s="17">
        <v>900</v>
      </c>
      <c r="I108" s="5">
        <v>2</v>
      </c>
      <c r="J108" s="5" t="s">
        <v>21</v>
      </c>
      <c r="K108" s="5" t="s">
        <v>37</v>
      </c>
      <c r="L108" s="6">
        <v>3.9</v>
      </c>
      <c r="M108" t="str">
        <f t="shared" si="3"/>
        <v>35-44</v>
      </c>
    </row>
    <row r="109" spans="1:13" x14ac:dyDescent="0.3">
      <c r="A109" s="5">
        <v>1013</v>
      </c>
      <c r="B109" s="11">
        <v>45696</v>
      </c>
      <c r="C109" s="5" t="s">
        <v>23</v>
      </c>
      <c r="D109" s="5" t="s">
        <v>24</v>
      </c>
      <c r="E109" s="5" t="s">
        <v>25</v>
      </c>
      <c r="F109" s="5">
        <v>23</v>
      </c>
      <c r="G109" s="5" t="s">
        <v>15</v>
      </c>
      <c r="H109" s="17">
        <v>900</v>
      </c>
      <c r="I109" s="5">
        <v>2</v>
      </c>
      <c r="J109" s="5" t="s">
        <v>16</v>
      </c>
      <c r="K109" s="5" t="s">
        <v>17</v>
      </c>
      <c r="L109" s="6">
        <v>4.5</v>
      </c>
      <c r="M109" t="str">
        <f t="shared" si="3"/>
        <v>18-24</v>
      </c>
    </row>
    <row r="110" spans="1:13" x14ac:dyDescent="0.3">
      <c r="A110" s="7">
        <v>1106</v>
      </c>
      <c r="B110" s="15">
        <v>45974</v>
      </c>
      <c r="C110" s="7" t="s">
        <v>33</v>
      </c>
      <c r="D110" s="7" t="s">
        <v>13</v>
      </c>
      <c r="E110" s="7" t="s">
        <v>34</v>
      </c>
      <c r="F110" s="7">
        <v>25</v>
      </c>
      <c r="G110" s="7" t="s">
        <v>15</v>
      </c>
      <c r="H110" s="16">
        <v>900</v>
      </c>
      <c r="I110" s="7">
        <v>2</v>
      </c>
      <c r="J110" s="7" t="s">
        <v>21</v>
      </c>
      <c r="K110" s="7" t="s">
        <v>37</v>
      </c>
      <c r="L110" s="8">
        <v>4.2</v>
      </c>
      <c r="M110" t="str">
        <f t="shared" si="3"/>
        <v>25-34</v>
      </c>
    </row>
    <row r="111" spans="1:13" x14ac:dyDescent="0.3">
      <c r="A111" s="7">
        <v>1002</v>
      </c>
      <c r="B111" s="15">
        <v>45660</v>
      </c>
      <c r="C111" s="7" t="s">
        <v>18</v>
      </c>
      <c r="D111" s="7" t="s">
        <v>19</v>
      </c>
      <c r="E111" s="7" t="s">
        <v>20</v>
      </c>
      <c r="F111" s="7">
        <v>31</v>
      </c>
      <c r="G111" s="7" t="s">
        <v>15</v>
      </c>
      <c r="H111" s="16">
        <v>850</v>
      </c>
      <c r="I111" s="7">
        <v>1</v>
      </c>
      <c r="J111" s="7" t="s">
        <v>21</v>
      </c>
      <c r="K111" s="7" t="s">
        <v>22</v>
      </c>
      <c r="L111" s="8">
        <v>4</v>
      </c>
      <c r="M111" t="str">
        <f t="shared" si="3"/>
        <v>25-34</v>
      </c>
    </row>
    <row r="112" spans="1:13" x14ac:dyDescent="0.3">
      <c r="A112" s="7">
        <v>1096</v>
      </c>
      <c r="B112" s="15">
        <v>45943</v>
      </c>
      <c r="C112" s="7" t="s">
        <v>33</v>
      </c>
      <c r="D112" s="7" t="s">
        <v>13</v>
      </c>
      <c r="E112" s="7" t="s">
        <v>34</v>
      </c>
      <c r="F112" s="7">
        <v>24</v>
      </c>
      <c r="G112" s="7" t="s">
        <v>15</v>
      </c>
      <c r="H112" s="16">
        <v>850</v>
      </c>
      <c r="I112" s="7">
        <v>2</v>
      </c>
      <c r="J112" s="7" t="s">
        <v>21</v>
      </c>
      <c r="K112" s="7" t="s">
        <v>37</v>
      </c>
      <c r="L112" s="8">
        <v>4.0999999999999996</v>
      </c>
      <c r="M112" t="str">
        <f t="shared" si="3"/>
        <v>18-24</v>
      </c>
    </row>
    <row r="113" spans="1:13" x14ac:dyDescent="0.3">
      <c r="A113" s="7">
        <v>1086</v>
      </c>
      <c r="B113" s="15">
        <v>45913</v>
      </c>
      <c r="C113" s="7" t="s">
        <v>33</v>
      </c>
      <c r="D113" s="7" t="s">
        <v>13</v>
      </c>
      <c r="E113" s="7" t="s">
        <v>34</v>
      </c>
      <c r="F113" s="7">
        <v>22</v>
      </c>
      <c r="G113" s="7" t="s">
        <v>15</v>
      </c>
      <c r="H113" s="16">
        <v>820</v>
      </c>
      <c r="I113" s="7">
        <v>2</v>
      </c>
      <c r="J113" s="7" t="s">
        <v>21</v>
      </c>
      <c r="K113" s="7" t="s">
        <v>37</v>
      </c>
      <c r="L113" s="8">
        <v>4</v>
      </c>
      <c r="M113" t="str">
        <f t="shared" si="3"/>
        <v>18-24</v>
      </c>
    </row>
    <row r="114" spans="1:13" x14ac:dyDescent="0.3">
      <c r="A114" s="7">
        <v>1076</v>
      </c>
      <c r="B114" s="15">
        <v>45881</v>
      </c>
      <c r="C114" s="7" t="s">
        <v>33</v>
      </c>
      <c r="D114" s="7" t="s">
        <v>13</v>
      </c>
      <c r="E114" s="7" t="s">
        <v>34</v>
      </c>
      <c r="F114" s="7">
        <v>23</v>
      </c>
      <c r="G114" s="7" t="s">
        <v>15</v>
      </c>
      <c r="H114" s="16">
        <v>800</v>
      </c>
      <c r="I114" s="7">
        <v>2</v>
      </c>
      <c r="J114" s="7" t="s">
        <v>21</v>
      </c>
      <c r="K114" s="7" t="s">
        <v>37</v>
      </c>
      <c r="L114" s="8">
        <v>4.0999999999999996</v>
      </c>
      <c r="M114" t="str">
        <f t="shared" si="3"/>
        <v>18-24</v>
      </c>
    </row>
    <row r="115" spans="1:13" x14ac:dyDescent="0.3">
      <c r="A115" s="7">
        <v>1026</v>
      </c>
      <c r="B115" s="15">
        <v>45729</v>
      </c>
      <c r="C115" s="7" t="s">
        <v>33</v>
      </c>
      <c r="D115" s="7" t="s">
        <v>13</v>
      </c>
      <c r="E115" s="7" t="s">
        <v>34</v>
      </c>
      <c r="F115" s="7">
        <v>23</v>
      </c>
      <c r="G115" s="7" t="s">
        <v>15</v>
      </c>
      <c r="H115" s="16">
        <v>780</v>
      </c>
      <c r="I115" s="7">
        <v>2</v>
      </c>
      <c r="J115" s="7" t="s">
        <v>21</v>
      </c>
      <c r="K115" s="7" t="s">
        <v>37</v>
      </c>
      <c r="L115" s="8">
        <v>4</v>
      </c>
      <c r="M115" t="str">
        <f t="shared" si="3"/>
        <v>18-24</v>
      </c>
    </row>
    <row r="116" spans="1:13" x14ac:dyDescent="0.3">
      <c r="A116" s="7">
        <v>1066</v>
      </c>
      <c r="B116" s="15">
        <v>45851</v>
      </c>
      <c r="C116" s="7" t="s">
        <v>33</v>
      </c>
      <c r="D116" s="7" t="s">
        <v>13</v>
      </c>
      <c r="E116" s="7" t="s">
        <v>34</v>
      </c>
      <c r="F116" s="7">
        <v>24</v>
      </c>
      <c r="G116" s="7" t="s">
        <v>15</v>
      </c>
      <c r="H116" s="16">
        <v>750</v>
      </c>
      <c r="I116" s="7">
        <v>2</v>
      </c>
      <c r="J116" s="7" t="s">
        <v>21</v>
      </c>
      <c r="K116" s="7" t="s">
        <v>37</v>
      </c>
      <c r="L116" s="8">
        <v>4</v>
      </c>
      <c r="M116" t="str">
        <f t="shared" si="3"/>
        <v>18-24</v>
      </c>
    </row>
    <row r="117" spans="1:13" x14ac:dyDescent="0.3">
      <c r="A117" s="7">
        <v>1036</v>
      </c>
      <c r="B117" s="15">
        <v>45759</v>
      </c>
      <c r="C117" s="7" t="s">
        <v>33</v>
      </c>
      <c r="D117" s="7" t="s">
        <v>13</v>
      </c>
      <c r="E117" s="7" t="s">
        <v>34</v>
      </c>
      <c r="F117" s="7">
        <v>22</v>
      </c>
      <c r="G117" s="7" t="s">
        <v>15</v>
      </c>
      <c r="H117" s="16">
        <v>720</v>
      </c>
      <c r="I117" s="7">
        <v>2</v>
      </c>
      <c r="J117" s="7" t="s">
        <v>21</v>
      </c>
      <c r="K117" s="7" t="s">
        <v>37</v>
      </c>
      <c r="L117" s="8">
        <v>3.9</v>
      </c>
      <c r="M117" t="str">
        <f t="shared" si="3"/>
        <v>18-24</v>
      </c>
    </row>
    <row r="118" spans="1:13" x14ac:dyDescent="0.3">
      <c r="A118" s="7">
        <v>1016</v>
      </c>
      <c r="B118" s="15">
        <v>45705</v>
      </c>
      <c r="C118" s="7" t="s">
        <v>33</v>
      </c>
      <c r="D118" s="7" t="s">
        <v>13</v>
      </c>
      <c r="E118" s="7" t="s">
        <v>34</v>
      </c>
      <c r="F118" s="7">
        <v>21</v>
      </c>
      <c r="G118" s="7" t="s">
        <v>15</v>
      </c>
      <c r="H118" s="16">
        <v>700</v>
      </c>
      <c r="I118" s="7">
        <v>2</v>
      </c>
      <c r="J118" s="7" t="s">
        <v>21</v>
      </c>
      <c r="K118" s="7" t="s">
        <v>37</v>
      </c>
      <c r="L118" s="8">
        <v>3.8</v>
      </c>
      <c r="M118" t="str">
        <f t="shared" si="3"/>
        <v>18-24</v>
      </c>
    </row>
    <row r="119" spans="1:13" x14ac:dyDescent="0.3">
      <c r="A119" s="7">
        <v>1006</v>
      </c>
      <c r="B119" s="15">
        <v>45672</v>
      </c>
      <c r="C119" s="7" t="s">
        <v>33</v>
      </c>
      <c r="D119" s="7" t="s">
        <v>13</v>
      </c>
      <c r="E119" s="7" t="s">
        <v>34</v>
      </c>
      <c r="F119" s="7">
        <v>22</v>
      </c>
      <c r="G119" s="7" t="s">
        <v>15</v>
      </c>
      <c r="H119" s="16">
        <v>650</v>
      </c>
      <c r="I119" s="7">
        <v>2</v>
      </c>
      <c r="J119" s="7" t="s">
        <v>16</v>
      </c>
      <c r="K119" s="7" t="s">
        <v>17</v>
      </c>
      <c r="L119" s="8">
        <v>4.0999999999999996</v>
      </c>
      <c r="M119" t="str">
        <f t="shared" si="3"/>
        <v>18-24</v>
      </c>
    </row>
    <row r="120" spans="1:13" x14ac:dyDescent="0.3">
      <c r="A120" s="7">
        <v>1056</v>
      </c>
      <c r="B120" s="15">
        <v>45820</v>
      </c>
      <c r="C120" s="7" t="s">
        <v>33</v>
      </c>
      <c r="D120" s="7" t="s">
        <v>13</v>
      </c>
      <c r="E120" s="7" t="s">
        <v>34</v>
      </c>
      <c r="F120" s="7">
        <v>20</v>
      </c>
      <c r="G120" s="7" t="s">
        <v>15</v>
      </c>
      <c r="H120" s="16">
        <v>650</v>
      </c>
      <c r="I120" s="7">
        <v>2</v>
      </c>
      <c r="J120" s="7" t="s">
        <v>21</v>
      </c>
      <c r="K120" s="7" t="s">
        <v>37</v>
      </c>
      <c r="L120" s="8">
        <v>3.8</v>
      </c>
      <c r="M120" t="str">
        <f t="shared" si="3"/>
        <v>18-24</v>
      </c>
    </row>
    <row r="121" spans="1:13" x14ac:dyDescent="0.3">
      <c r="A121" s="7">
        <v>1046</v>
      </c>
      <c r="B121" s="15">
        <v>45790</v>
      </c>
      <c r="C121" s="7" t="s">
        <v>33</v>
      </c>
      <c r="D121" s="7" t="s">
        <v>13</v>
      </c>
      <c r="E121" s="7" t="s">
        <v>34</v>
      </c>
      <c r="F121" s="7">
        <v>21</v>
      </c>
      <c r="G121" s="7" t="s">
        <v>15</v>
      </c>
      <c r="H121" s="16">
        <v>600</v>
      </c>
      <c r="I121" s="7">
        <v>1</v>
      </c>
      <c r="J121" s="7" t="s">
        <v>21</v>
      </c>
      <c r="K121" s="7" t="s">
        <v>37</v>
      </c>
      <c r="L121" s="8">
        <v>3.7</v>
      </c>
      <c r="M121" t="str">
        <f t="shared" si="3"/>
        <v>18-24</v>
      </c>
    </row>
    <row r="122" spans="1:13" x14ac:dyDescent="0.3">
      <c r="H122" s="10"/>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1B962-86DD-4A14-83B9-A39A1469378E}">
  <dimension ref="A1:F8"/>
  <sheetViews>
    <sheetView workbookViewId="0">
      <selection activeCell="G3" sqref="G1:G3"/>
    </sheetView>
  </sheetViews>
  <sheetFormatPr defaultRowHeight="14.4" x14ac:dyDescent="0.3"/>
  <cols>
    <col min="1" max="1" width="13.5546875" customWidth="1"/>
    <col min="4" max="4" width="8.109375" customWidth="1"/>
    <col min="5" max="5" width="8.88671875" hidden="1" customWidth="1"/>
    <col min="6" max="6" width="5.88671875" customWidth="1"/>
  </cols>
  <sheetData>
    <row r="1" spans="1:6" x14ac:dyDescent="0.3">
      <c r="A1" s="35" t="s">
        <v>41</v>
      </c>
      <c r="B1" s="36"/>
      <c r="C1" s="36"/>
      <c r="D1" s="36"/>
      <c r="E1" s="36"/>
      <c r="F1" s="36"/>
    </row>
    <row r="3" spans="1:6" x14ac:dyDescent="0.3">
      <c r="A3" s="21" t="s">
        <v>42</v>
      </c>
      <c r="B3">
        <f>SUM('Cleaned Data'!H:H)</f>
        <v>278030</v>
      </c>
    </row>
    <row r="4" spans="1:6" x14ac:dyDescent="0.3">
      <c r="A4" t="s">
        <v>43</v>
      </c>
      <c r="B4">
        <f>SUM('Cleaned Data'!I:I)</f>
        <v>258</v>
      </c>
    </row>
    <row r="5" spans="1:6" x14ac:dyDescent="0.3">
      <c r="A5" t="s">
        <v>44</v>
      </c>
      <c r="B5">
        <f>AVERAGE('Cleaned Data'!H:H)</f>
        <v>2316.9166666666665</v>
      </c>
    </row>
    <row r="6" spans="1:6" x14ac:dyDescent="0.3">
      <c r="A6" t="s">
        <v>45</v>
      </c>
      <c r="B6">
        <f>MAX('Cleaned Data'!H:H)</f>
        <v>6000</v>
      </c>
    </row>
    <row r="7" spans="1:6" x14ac:dyDescent="0.3">
      <c r="A7" t="s">
        <v>46</v>
      </c>
      <c r="B7">
        <f>MIN('Cleaned Data'!H:H)</f>
        <v>600</v>
      </c>
    </row>
    <row r="8" spans="1:6" x14ac:dyDescent="0.3">
      <c r="A8" t="s">
        <v>47</v>
      </c>
      <c r="B8">
        <f>COUNTA('Cleaned Data'!A:A)-1</f>
        <v>120</v>
      </c>
    </row>
  </sheetData>
  <mergeCells count="1">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B20CD-83D7-47CC-8F45-095E335EE9B0}">
  <dimension ref="A1:E17"/>
  <sheetViews>
    <sheetView zoomScale="99" workbookViewId="0">
      <selection activeCell="D3" sqref="D3:E9"/>
    </sheetView>
  </sheetViews>
  <sheetFormatPr defaultRowHeight="14.4" x14ac:dyDescent="0.3"/>
  <cols>
    <col min="1" max="1" width="12.5546875" bestFit="1" customWidth="1"/>
    <col min="2" max="2" width="12.109375" bestFit="1" customWidth="1"/>
    <col min="4" max="4" width="12.5546875" bestFit="1" customWidth="1"/>
    <col min="5" max="5" width="12.109375" bestFit="1" customWidth="1"/>
  </cols>
  <sheetData>
    <row r="1" spans="1:5" x14ac:dyDescent="0.3">
      <c r="A1" s="35" t="s">
        <v>69</v>
      </c>
      <c r="B1" s="35"/>
      <c r="D1" s="35" t="s">
        <v>70</v>
      </c>
      <c r="E1" s="35"/>
    </row>
    <row r="3" spans="1:5" x14ac:dyDescent="0.3">
      <c r="A3" s="22" t="s">
        <v>48</v>
      </c>
      <c r="B3" t="s">
        <v>62</v>
      </c>
      <c r="D3" s="22" t="s">
        <v>48</v>
      </c>
      <c r="E3" t="s">
        <v>62</v>
      </c>
    </row>
    <row r="4" spans="1:5" x14ac:dyDescent="0.3">
      <c r="A4" s="23" t="s">
        <v>30</v>
      </c>
      <c r="B4" s="10">
        <v>48050</v>
      </c>
      <c r="D4" s="23" t="s">
        <v>12</v>
      </c>
      <c r="E4" s="10">
        <v>103950</v>
      </c>
    </row>
    <row r="5" spans="1:5" x14ac:dyDescent="0.3">
      <c r="A5" s="23" t="s">
        <v>19</v>
      </c>
      <c r="B5" s="10">
        <v>30910</v>
      </c>
      <c r="D5" s="23" t="s">
        <v>33</v>
      </c>
      <c r="E5" s="10">
        <v>9170</v>
      </c>
    </row>
    <row r="6" spans="1:5" x14ac:dyDescent="0.3">
      <c r="A6" s="23" t="s">
        <v>24</v>
      </c>
      <c r="B6" s="10">
        <v>58200</v>
      </c>
      <c r="D6" s="23" t="s">
        <v>23</v>
      </c>
      <c r="E6" s="10">
        <v>44300</v>
      </c>
    </row>
    <row r="7" spans="1:5" x14ac:dyDescent="0.3">
      <c r="A7" s="23" t="s">
        <v>13</v>
      </c>
      <c r="B7" s="10">
        <v>60970</v>
      </c>
      <c r="D7" s="23" t="s">
        <v>35</v>
      </c>
      <c r="E7" s="10">
        <v>15010</v>
      </c>
    </row>
    <row r="8" spans="1:5" x14ac:dyDescent="0.3">
      <c r="A8" s="23" t="s">
        <v>26</v>
      </c>
      <c r="B8" s="10">
        <v>79900</v>
      </c>
      <c r="D8" s="23" t="s">
        <v>18</v>
      </c>
      <c r="E8" s="10">
        <v>57550</v>
      </c>
    </row>
    <row r="9" spans="1:5" x14ac:dyDescent="0.3">
      <c r="A9" s="23" t="s">
        <v>49</v>
      </c>
      <c r="B9" s="10">
        <v>278030</v>
      </c>
      <c r="D9" s="23" t="s">
        <v>29</v>
      </c>
      <c r="E9" s="10">
        <v>48050</v>
      </c>
    </row>
    <row r="10" spans="1:5" x14ac:dyDescent="0.3">
      <c r="D10" s="23" t="s">
        <v>49</v>
      </c>
      <c r="E10" s="10">
        <v>278030</v>
      </c>
    </row>
    <row r="13" spans="1:5" x14ac:dyDescent="0.3">
      <c r="A13" s="35" t="s">
        <v>71</v>
      </c>
      <c r="B13" s="35"/>
      <c r="D13" s="35" t="s">
        <v>72</v>
      </c>
      <c r="E13" s="35"/>
    </row>
    <row r="14" spans="1:5" x14ac:dyDescent="0.3">
      <c r="A14" s="22" t="s">
        <v>48</v>
      </c>
      <c r="B14" t="s">
        <v>62</v>
      </c>
      <c r="D14" s="22" t="s">
        <v>48</v>
      </c>
      <c r="E14" t="s">
        <v>62</v>
      </c>
    </row>
    <row r="15" spans="1:5" x14ac:dyDescent="0.3">
      <c r="A15" s="23" t="s">
        <v>16</v>
      </c>
      <c r="B15" s="10">
        <v>229610</v>
      </c>
      <c r="D15" s="23" t="s">
        <v>15</v>
      </c>
      <c r="E15" s="10">
        <v>183120</v>
      </c>
    </row>
    <row r="16" spans="1:5" x14ac:dyDescent="0.3">
      <c r="A16" s="23" t="s">
        <v>21</v>
      </c>
      <c r="B16" s="10">
        <v>48420</v>
      </c>
      <c r="D16" s="23" t="s">
        <v>28</v>
      </c>
      <c r="E16" s="10">
        <v>94910</v>
      </c>
    </row>
    <row r="17" spans="1:5" x14ac:dyDescent="0.3">
      <c r="A17" s="23" t="s">
        <v>49</v>
      </c>
      <c r="B17" s="10">
        <v>278030</v>
      </c>
      <c r="D17" s="23" t="s">
        <v>49</v>
      </c>
      <c r="E17" s="10">
        <v>278030</v>
      </c>
    </row>
  </sheetData>
  <mergeCells count="4">
    <mergeCell ref="A1:B1"/>
    <mergeCell ref="D1:E1"/>
    <mergeCell ref="A13:B13"/>
    <mergeCell ref="D13:E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F0C44-9574-4A32-84D5-3134CB7B022B}">
  <dimension ref="A1:E16"/>
  <sheetViews>
    <sheetView workbookViewId="0">
      <selection activeCell="D3" sqref="D3:E15"/>
    </sheetView>
  </sheetViews>
  <sheetFormatPr defaultRowHeight="14.4" x14ac:dyDescent="0.3"/>
  <cols>
    <col min="1" max="1" width="12.5546875" bestFit="1" customWidth="1"/>
    <col min="2" max="2" width="12.109375" bestFit="1" customWidth="1"/>
    <col min="4" max="4" width="12.5546875" bestFit="1" customWidth="1"/>
    <col min="5" max="5" width="12.109375" customWidth="1"/>
  </cols>
  <sheetData>
    <row r="1" spans="1:5" x14ac:dyDescent="0.3">
      <c r="A1" s="35" t="s">
        <v>64</v>
      </c>
      <c r="B1" s="35"/>
      <c r="C1" s="24"/>
      <c r="D1" s="35" t="s">
        <v>73</v>
      </c>
      <c r="E1" s="36"/>
    </row>
    <row r="3" spans="1:5" x14ac:dyDescent="0.3">
      <c r="A3" s="22" t="s">
        <v>48</v>
      </c>
      <c r="B3" t="s">
        <v>62</v>
      </c>
      <c r="D3" s="22" t="s">
        <v>48</v>
      </c>
      <c r="E3" t="s">
        <v>62</v>
      </c>
    </row>
    <row r="4" spans="1:5" x14ac:dyDescent="0.3">
      <c r="A4" s="23" t="s">
        <v>65</v>
      </c>
      <c r="B4" s="10">
        <v>16170</v>
      </c>
      <c r="D4" s="23" t="s">
        <v>50</v>
      </c>
      <c r="E4" s="10">
        <v>14800</v>
      </c>
    </row>
    <row r="5" spans="1:5" x14ac:dyDescent="0.3">
      <c r="A5" s="23" t="s">
        <v>66</v>
      </c>
      <c r="B5" s="10">
        <v>152200</v>
      </c>
      <c r="D5" s="23" t="s">
        <v>51</v>
      </c>
      <c r="E5" s="10">
        <v>18600</v>
      </c>
    </row>
    <row r="6" spans="1:5" x14ac:dyDescent="0.3">
      <c r="A6" s="23" t="s">
        <v>67</v>
      </c>
      <c r="B6" s="10">
        <v>106260</v>
      </c>
      <c r="D6" s="23" t="s">
        <v>52</v>
      </c>
      <c r="E6" s="10">
        <v>17980</v>
      </c>
    </row>
    <row r="7" spans="1:5" x14ac:dyDescent="0.3">
      <c r="A7" s="23" t="s">
        <v>68</v>
      </c>
      <c r="B7" s="10">
        <v>3400</v>
      </c>
      <c r="D7" s="23" t="s">
        <v>53</v>
      </c>
      <c r="E7" s="10">
        <v>20850</v>
      </c>
    </row>
    <row r="8" spans="1:5" x14ac:dyDescent="0.3">
      <c r="A8" s="23" t="s">
        <v>49</v>
      </c>
      <c r="B8" s="10">
        <v>278030</v>
      </c>
      <c r="D8" s="23" t="s">
        <v>54</v>
      </c>
      <c r="E8" s="10">
        <v>20400</v>
      </c>
    </row>
    <row r="9" spans="1:5" x14ac:dyDescent="0.3">
      <c r="D9" s="23" t="s">
        <v>55</v>
      </c>
      <c r="E9" s="10">
        <v>20430</v>
      </c>
    </row>
    <row r="10" spans="1:5" x14ac:dyDescent="0.3">
      <c r="D10" s="23" t="s">
        <v>56</v>
      </c>
      <c r="E10" s="10">
        <v>24080</v>
      </c>
    </row>
    <row r="11" spans="1:5" x14ac:dyDescent="0.3">
      <c r="D11" s="23" t="s">
        <v>57</v>
      </c>
      <c r="E11" s="10">
        <v>25170</v>
      </c>
    </row>
    <row r="12" spans="1:5" x14ac:dyDescent="0.3">
      <c r="D12" s="23" t="s">
        <v>58</v>
      </c>
      <c r="E12" s="10">
        <v>26470</v>
      </c>
    </row>
    <row r="13" spans="1:5" x14ac:dyDescent="0.3">
      <c r="D13" s="23" t="s">
        <v>59</v>
      </c>
      <c r="E13" s="10">
        <v>28050</v>
      </c>
    </row>
    <row r="14" spans="1:5" x14ac:dyDescent="0.3">
      <c r="D14" s="23" t="s">
        <v>60</v>
      </c>
      <c r="E14" s="10">
        <v>29650</v>
      </c>
    </row>
    <row r="15" spans="1:5" x14ac:dyDescent="0.3">
      <c r="D15" s="23" t="s">
        <v>61</v>
      </c>
      <c r="E15" s="10">
        <v>31550</v>
      </c>
    </row>
    <row r="16" spans="1:5" x14ac:dyDescent="0.3">
      <c r="D16" s="23" t="s">
        <v>49</v>
      </c>
      <c r="E16" s="10">
        <v>278030</v>
      </c>
    </row>
  </sheetData>
  <mergeCells count="2">
    <mergeCell ref="A1:B1"/>
    <mergeCell ref="D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4411-1DAE-400A-8E44-8AD68EE0EC3B}">
  <dimension ref="A1:P20"/>
  <sheetViews>
    <sheetView zoomScale="83" workbookViewId="0">
      <selection activeCell="R29" sqref="R29"/>
    </sheetView>
  </sheetViews>
  <sheetFormatPr defaultRowHeight="14.4" x14ac:dyDescent="0.3"/>
  <sheetData>
    <row r="1" spans="1:16" x14ac:dyDescent="0.3">
      <c r="A1" s="35" t="s">
        <v>75</v>
      </c>
      <c r="B1" s="36"/>
      <c r="C1" s="36"/>
      <c r="D1" s="36"/>
      <c r="E1" s="36"/>
      <c r="F1" s="36"/>
      <c r="G1" s="36"/>
      <c r="H1" s="36"/>
      <c r="J1" s="35" t="s">
        <v>76</v>
      </c>
      <c r="K1" s="35"/>
      <c r="L1" s="35"/>
      <c r="M1" s="35"/>
      <c r="N1" s="35"/>
      <c r="O1" s="35"/>
      <c r="P1" s="35"/>
    </row>
    <row r="20" spans="1:16" x14ac:dyDescent="0.3">
      <c r="A20" s="35" t="s">
        <v>77</v>
      </c>
      <c r="B20" s="36"/>
      <c r="C20" s="36"/>
      <c r="D20" s="36"/>
      <c r="E20" s="36"/>
      <c r="J20" s="35" t="s">
        <v>70</v>
      </c>
      <c r="K20" s="36"/>
      <c r="L20" s="36"/>
      <c r="M20" s="36"/>
      <c r="N20" s="36"/>
      <c r="O20" s="36"/>
      <c r="P20" s="36"/>
    </row>
  </sheetData>
  <mergeCells count="4">
    <mergeCell ref="A1:H1"/>
    <mergeCell ref="A20:E20"/>
    <mergeCell ref="J1:P1"/>
    <mergeCell ref="J20:P2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1746-59F9-4A00-86DB-361A9B916D9E}">
  <dimension ref="A2:C7"/>
  <sheetViews>
    <sheetView workbookViewId="0">
      <selection activeCell="F42" sqref="F42"/>
    </sheetView>
  </sheetViews>
  <sheetFormatPr defaultRowHeight="14.4" x14ac:dyDescent="0.3"/>
  <cols>
    <col min="1" max="1" width="12.5546875" bestFit="1" customWidth="1"/>
    <col min="2" max="2" width="12.109375" bestFit="1" customWidth="1"/>
    <col min="3" max="3" width="20.109375" bestFit="1" customWidth="1"/>
  </cols>
  <sheetData>
    <row r="2" spans="1:3" x14ac:dyDescent="0.3">
      <c r="A2" s="22" t="s">
        <v>48</v>
      </c>
      <c r="B2" t="s">
        <v>62</v>
      </c>
      <c r="C2" t="s">
        <v>115</v>
      </c>
    </row>
    <row r="3" spans="1:3" x14ac:dyDescent="0.3">
      <c r="A3" s="23" t="s">
        <v>65</v>
      </c>
      <c r="B3" s="10">
        <v>6050</v>
      </c>
      <c r="C3" s="38">
        <v>3083</v>
      </c>
    </row>
    <row r="4" spans="1:3" x14ac:dyDescent="0.3">
      <c r="A4" s="23" t="s">
        <v>66</v>
      </c>
      <c r="B4" s="10">
        <v>59650</v>
      </c>
      <c r="C4" s="38">
        <v>22345</v>
      </c>
    </row>
    <row r="5" spans="1:3" x14ac:dyDescent="0.3">
      <c r="A5" s="23" t="s">
        <v>67</v>
      </c>
      <c r="B5" s="10">
        <v>34850</v>
      </c>
      <c r="C5" s="38">
        <v>11644</v>
      </c>
    </row>
    <row r="6" spans="1:3" x14ac:dyDescent="0.3">
      <c r="A6" s="23" t="s">
        <v>68</v>
      </c>
      <c r="B6" s="10">
        <v>3400</v>
      </c>
      <c r="C6" s="38">
        <v>1064</v>
      </c>
    </row>
    <row r="7" spans="1:3" x14ac:dyDescent="0.3">
      <c r="A7" s="23" t="s">
        <v>49</v>
      </c>
      <c r="B7" s="10">
        <v>103950</v>
      </c>
      <c r="C7" s="38">
        <v>38136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BD3E3-2953-484D-A716-ACA76502755F}">
  <dimension ref="A1:N10"/>
  <sheetViews>
    <sheetView showGridLines="0" tabSelected="1" topLeftCell="A10" zoomScale="65" workbookViewId="0">
      <selection activeCell="T27" sqref="T27"/>
    </sheetView>
  </sheetViews>
  <sheetFormatPr defaultRowHeight="14.4" x14ac:dyDescent="0.3"/>
  <cols>
    <col min="2" max="2" width="8.6640625" customWidth="1"/>
  </cols>
  <sheetData>
    <row r="1" spans="1:14" x14ac:dyDescent="0.3">
      <c r="A1" s="35" t="s">
        <v>78</v>
      </c>
      <c r="B1" s="36"/>
      <c r="C1" s="36"/>
      <c r="D1" s="36"/>
      <c r="E1" s="36"/>
      <c r="F1" s="36"/>
      <c r="G1" s="36"/>
    </row>
    <row r="3" spans="1:14" x14ac:dyDescent="0.3">
      <c r="B3" s="36" t="s">
        <v>79</v>
      </c>
      <c r="C3" s="36"/>
      <c r="E3" s="37">
        <f>EDA!B3</f>
        <v>278030</v>
      </c>
      <c r="F3" s="37"/>
    </row>
    <row r="4" spans="1:14" x14ac:dyDescent="0.3">
      <c r="B4" s="36" t="s">
        <v>80</v>
      </c>
      <c r="C4" s="36"/>
      <c r="E4" s="36">
        <f>EDA!B8</f>
        <v>120</v>
      </c>
      <c r="F4" s="36"/>
    </row>
    <row r="5" spans="1:14" x14ac:dyDescent="0.3">
      <c r="B5" s="36" t="s">
        <v>81</v>
      </c>
      <c r="C5" s="36"/>
      <c r="E5" s="37">
        <f>EDA!B5</f>
        <v>2316.9166666666665</v>
      </c>
      <c r="F5" s="37"/>
    </row>
    <row r="6" spans="1:14" x14ac:dyDescent="0.3">
      <c r="B6" s="36" t="s">
        <v>82</v>
      </c>
      <c r="C6" s="36"/>
      <c r="E6" s="37">
        <f>EDA!B6</f>
        <v>6000</v>
      </c>
      <c r="F6" s="37"/>
    </row>
    <row r="7" spans="1:14" x14ac:dyDescent="0.3">
      <c r="B7" s="36" t="s">
        <v>83</v>
      </c>
      <c r="C7" s="36"/>
      <c r="E7" s="37">
        <f>EDA!B7</f>
        <v>600</v>
      </c>
      <c r="F7" s="37"/>
    </row>
    <row r="8" spans="1:14" x14ac:dyDescent="0.3">
      <c r="B8" s="36" t="s">
        <v>84</v>
      </c>
      <c r="C8" s="36"/>
      <c r="E8" s="36">
        <f>SUM('Cleaned Data'!I:I)</f>
        <v>258</v>
      </c>
      <c r="F8" s="36"/>
    </row>
    <row r="9" spans="1:14" x14ac:dyDescent="0.3">
      <c r="B9" s="25"/>
      <c r="C9" s="25"/>
      <c r="E9" s="25"/>
      <c r="F9" s="25"/>
    </row>
    <row r="10" spans="1:14" x14ac:dyDescent="0.3">
      <c r="A10" s="35" t="s">
        <v>125</v>
      </c>
      <c r="B10" s="36"/>
      <c r="C10" s="36"/>
      <c r="D10" s="36"/>
      <c r="E10" s="36"/>
      <c r="F10" s="36"/>
      <c r="G10" s="36"/>
      <c r="H10" s="36"/>
      <c r="I10" s="36"/>
      <c r="J10" s="36"/>
      <c r="K10" s="36"/>
      <c r="L10" s="36"/>
      <c r="M10" s="36"/>
      <c r="N10" s="36"/>
    </row>
  </sheetData>
  <mergeCells count="14">
    <mergeCell ref="A10:N10"/>
    <mergeCell ref="B7:C7"/>
    <mergeCell ref="B8:C8"/>
    <mergeCell ref="E7:F7"/>
    <mergeCell ref="E8:F8"/>
    <mergeCell ref="A1:G1"/>
    <mergeCell ref="B3:C3"/>
    <mergeCell ref="B4:C4"/>
    <mergeCell ref="B5:C5"/>
    <mergeCell ref="B6:C6"/>
    <mergeCell ref="E3:F3"/>
    <mergeCell ref="E4:F4"/>
    <mergeCell ref="E5:F5"/>
    <mergeCell ref="E6:F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09F61-47D3-4684-AE09-36A844216449}">
  <dimension ref="A1:M13"/>
  <sheetViews>
    <sheetView workbookViewId="0">
      <selection activeCell="A3" sqref="A3:M13"/>
    </sheetView>
  </sheetViews>
  <sheetFormatPr defaultRowHeight="14.4" x14ac:dyDescent="0.3"/>
  <cols>
    <col min="1" max="1" width="15.77734375" bestFit="1" customWidth="1"/>
    <col min="2" max="2" width="10.33203125" bestFit="1" customWidth="1"/>
    <col min="3" max="3" width="9.77734375" bestFit="1" customWidth="1"/>
    <col min="4" max="4" width="10.77734375" bestFit="1" customWidth="1"/>
    <col min="5" max="5" width="13.6640625" bestFit="1" customWidth="1"/>
    <col min="6" max="6" width="9" bestFit="1" customWidth="1"/>
    <col min="7" max="7" width="9.33203125" bestFit="1" customWidth="1"/>
    <col min="8" max="8" width="9" bestFit="1" customWidth="1"/>
    <col min="9" max="9" width="10.5546875" bestFit="1" customWidth="1"/>
    <col min="10" max="10" width="10.44140625" bestFit="1" customWidth="1"/>
    <col min="11" max="11" width="16.33203125" bestFit="1" customWidth="1"/>
    <col min="12" max="12" width="9" bestFit="1" customWidth="1"/>
    <col min="13" max="13" width="12.109375" bestFit="1" customWidth="1"/>
  </cols>
  <sheetData>
    <row r="1" spans="1:13" x14ac:dyDescent="0.3">
      <c r="A1" s="24" t="s">
        <v>91</v>
      </c>
    </row>
    <row r="3" spans="1:13" x14ac:dyDescent="0.3">
      <c r="A3" t="s">
        <v>74</v>
      </c>
      <c r="B3" t="s">
        <v>1</v>
      </c>
      <c r="C3" t="s">
        <v>2</v>
      </c>
      <c r="D3" t="s">
        <v>3</v>
      </c>
      <c r="E3" t="s">
        <v>4</v>
      </c>
      <c r="F3" t="s">
        <v>5</v>
      </c>
      <c r="G3" t="s">
        <v>6</v>
      </c>
      <c r="H3" t="s">
        <v>7</v>
      </c>
      <c r="I3" t="s">
        <v>8</v>
      </c>
      <c r="J3" t="s">
        <v>9</v>
      </c>
      <c r="K3" t="s">
        <v>10</v>
      </c>
      <c r="L3" t="s">
        <v>11</v>
      </c>
      <c r="M3" t="s">
        <v>63</v>
      </c>
    </row>
    <row r="4" spans="1:13" x14ac:dyDescent="0.3">
      <c r="A4">
        <v>1001</v>
      </c>
      <c r="B4" s="2">
        <v>45658</v>
      </c>
      <c r="C4" t="s">
        <v>12</v>
      </c>
      <c r="D4" t="s">
        <v>13</v>
      </c>
      <c r="E4" t="s">
        <v>14</v>
      </c>
      <c r="F4">
        <v>24</v>
      </c>
      <c r="G4" t="s">
        <v>15</v>
      </c>
      <c r="H4">
        <v>1200</v>
      </c>
      <c r="I4">
        <v>2</v>
      </c>
      <c r="J4" t="s">
        <v>16</v>
      </c>
      <c r="K4" t="s">
        <v>17</v>
      </c>
      <c r="L4">
        <v>4.5</v>
      </c>
      <c r="M4" t="s">
        <v>65</v>
      </c>
    </row>
    <row r="5" spans="1:13" x14ac:dyDescent="0.3">
      <c r="A5">
        <v>1002</v>
      </c>
      <c r="B5" s="2">
        <v>45660</v>
      </c>
      <c r="C5" t="s">
        <v>18</v>
      </c>
      <c r="D5" t="s">
        <v>19</v>
      </c>
      <c r="E5" t="s">
        <v>20</v>
      </c>
      <c r="F5">
        <v>31</v>
      </c>
      <c r="G5" t="s">
        <v>15</v>
      </c>
      <c r="H5">
        <v>850</v>
      </c>
      <c r="I5">
        <v>1</v>
      </c>
      <c r="J5" t="s">
        <v>21</v>
      </c>
      <c r="K5" t="s">
        <v>22</v>
      </c>
      <c r="L5">
        <v>4</v>
      </c>
      <c r="M5" t="s">
        <v>66</v>
      </c>
    </row>
    <row r="6" spans="1:13" x14ac:dyDescent="0.3">
      <c r="A6">
        <v>1003</v>
      </c>
      <c r="B6" s="2">
        <v>45662</v>
      </c>
      <c r="C6" t="s">
        <v>23</v>
      </c>
      <c r="D6" t="s">
        <v>24</v>
      </c>
      <c r="E6" t="s">
        <v>25</v>
      </c>
      <c r="F6">
        <v>27</v>
      </c>
      <c r="G6" t="s">
        <v>15</v>
      </c>
      <c r="H6">
        <v>1500</v>
      </c>
      <c r="I6">
        <v>3</v>
      </c>
      <c r="J6" t="s">
        <v>16</v>
      </c>
      <c r="K6" t="s">
        <v>17</v>
      </c>
      <c r="L6">
        <v>4.7</v>
      </c>
      <c r="M6" t="s">
        <v>66</v>
      </c>
    </row>
    <row r="7" spans="1:13" x14ac:dyDescent="0.3">
      <c r="A7">
        <v>1004</v>
      </c>
      <c r="B7" s="2">
        <v>45665</v>
      </c>
      <c r="C7" t="s">
        <v>12</v>
      </c>
      <c r="D7" t="s">
        <v>26</v>
      </c>
      <c r="E7" t="s">
        <v>27</v>
      </c>
      <c r="F7">
        <v>35</v>
      </c>
      <c r="G7" t="s">
        <v>28</v>
      </c>
      <c r="H7">
        <v>2200</v>
      </c>
      <c r="I7">
        <v>2</v>
      </c>
      <c r="J7" t="s">
        <v>21</v>
      </c>
      <c r="K7" t="s">
        <v>22</v>
      </c>
      <c r="L7">
        <v>4.2</v>
      </c>
      <c r="M7" t="s">
        <v>67</v>
      </c>
    </row>
    <row r="8" spans="1:13" x14ac:dyDescent="0.3">
      <c r="A8">
        <v>1005</v>
      </c>
      <c r="B8" s="2">
        <v>45669</v>
      </c>
      <c r="C8" t="s">
        <v>29</v>
      </c>
      <c r="D8" t="s">
        <v>30</v>
      </c>
      <c r="E8" t="s">
        <v>31</v>
      </c>
      <c r="F8">
        <v>29</v>
      </c>
      <c r="G8" t="s">
        <v>15</v>
      </c>
      <c r="H8">
        <v>1800</v>
      </c>
      <c r="I8">
        <v>1</v>
      </c>
      <c r="J8" t="s">
        <v>16</v>
      </c>
      <c r="K8" t="s">
        <v>32</v>
      </c>
      <c r="L8">
        <v>4.8</v>
      </c>
      <c r="M8" t="s">
        <v>66</v>
      </c>
    </row>
    <row r="9" spans="1:13" x14ac:dyDescent="0.3">
      <c r="A9">
        <v>1006</v>
      </c>
      <c r="B9" s="2">
        <v>45672</v>
      </c>
      <c r="C9" t="s">
        <v>33</v>
      </c>
      <c r="D9" t="s">
        <v>13</v>
      </c>
      <c r="E9" t="s">
        <v>34</v>
      </c>
      <c r="F9">
        <v>22</v>
      </c>
      <c r="G9" t="s">
        <v>15</v>
      </c>
      <c r="H9">
        <v>650</v>
      </c>
      <c r="I9">
        <v>2</v>
      </c>
      <c r="J9" t="s">
        <v>16</v>
      </c>
      <c r="K9" t="s">
        <v>17</v>
      </c>
      <c r="L9">
        <v>4.0999999999999996</v>
      </c>
      <c r="M9" t="s">
        <v>65</v>
      </c>
    </row>
    <row r="10" spans="1:13" x14ac:dyDescent="0.3">
      <c r="A10">
        <v>1007</v>
      </c>
      <c r="B10" s="2">
        <v>45675</v>
      </c>
      <c r="C10" t="s">
        <v>35</v>
      </c>
      <c r="D10" t="s">
        <v>19</v>
      </c>
      <c r="E10" t="s">
        <v>36</v>
      </c>
      <c r="F10">
        <v>40</v>
      </c>
      <c r="G10" t="s">
        <v>28</v>
      </c>
      <c r="H10">
        <v>900</v>
      </c>
      <c r="I10">
        <v>2</v>
      </c>
      <c r="J10" t="s">
        <v>21</v>
      </c>
      <c r="K10" t="s">
        <v>37</v>
      </c>
      <c r="L10">
        <v>3.9</v>
      </c>
      <c r="M10" t="s">
        <v>67</v>
      </c>
    </row>
    <row r="11" spans="1:13" x14ac:dyDescent="0.3">
      <c r="A11">
        <v>1008</v>
      </c>
      <c r="B11" s="2">
        <v>45679</v>
      </c>
      <c r="C11" t="s">
        <v>12</v>
      </c>
      <c r="D11" t="s">
        <v>24</v>
      </c>
      <c r="E11" t="s">
        <v>38</v>
      </c>
      <c r="F11">
        <v>26</v>
      </c>
      <c r="G11" t="s">
        <v>15</v>
      </c>
      <c r="H11">
        <v>2100</v>
      </c>
      <c r="I11">
        <v>2</v>
      </c>
      <c r="J11" t="s">
        <v>16</v>
      </c>
      <c r="K11" t="s">
        <v>22</v>
      </c>
      <c r="L11">
        <v>4.5999999999999996</v>
      </c>
      <c r="M11" t="s">
        <v>66</v>
      </c>
    </row>
    <row r="12" spans="1:13" x14ac:dyDescent="0.3">
      <c r="A12">
        <v>1009</v>
      </c>
      <c r="B12" s="2">
        <v>45682</v>
      </c>
      <c r="C12" t="s">
        <v>18</v>
      </c>
      <c r="D12" t="s">
        <v>26</v>
      </c>
      <c r="E12" t="s">
        <v>39</v>
      </c>
      <c r="F12">
        <v>33</v>
      </c>
      <c r="G12" t="s">
        <v>28</v>
      </c>
      <c r="H12">
        <v>2500</v>
      </c>
      <c r="I12">
        <v>1</v>
      </c>
      <c r="J12" t="s">
        <v>16</v>
      </c>
      <c r="K12" t="s">
        <v>17</v>
      </c>
      <c r="L12">
        <v>4.4000000000000004</v>
      </c>
      <c r="M12" t="s">
        <v>66</v>
      </c>
    </row>
    <row r="13" spans="1:13" x14ac:dyDescent="0.3">
      <c r="A13">
        <v>1010</v>
      </c>
      <c r="B13" s="2">
        <v>45685</v>
      </c>
      <c r="C13" t="s">
        <v>23</v>
      </c>
      <c r="D13" t="s">
        <v>13</v>
      </c>
      <c r="E13" t="s">
        <v>40</v>
      </c>
      <c r="F13">
        <v>37</v>
      </c>
      <c r="G13" t="s">
        <v>15</v>
      </c>
      <c r="H13">
        <v>1100</v>
      </c>
      <c r="I13">
        <v>2</v>
      </c>
      <c r="J13" t="s">
        <v>21</v>
      </c>
      <c r="K13" t="s">
        <v>22</v>
      </c>
      <c r="L13">
        <v>4.3</v>
      </c>
      <c r="M13" t="s">
        <v>67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295BE-1BAC-4C4C-B7F6-D33646A7A276}">
  <dimension ref="A1:AJ21"/>
  <sheetViews>
    <sheetView zoomScale="98" workbookViewId="0">
      <selection activeCell="AM17" sqref="AM17"/>
    </sheetView>
  </sheetViews>
  <sheetFormatPr defaultRowHeight="14.4" x14ac:dyDescent="0.3"/>
  <cols>
    <col min="1" max="1" width="12.77734375" bestFit="1" customWidth="1"/>
    <col min="2" max="2" width="12.33203125" bestFit="1" customWidth="1"/>
    <col min="3" max="3" width="18.109375" customWidth="1"/>
    <col min="4" max="4" width="17.6640625" customWidth="1"/>
    <col min="6" max="6" width="12" customWidth="1"/>
    <col min="7" max="7" width="13.6640625" customWidth="1"/>
    <col min="8" max="8" width="24.33203125" customWidth="1"/>
    <col min="9" max="9" width="13.44140625" customWidth="1"/>
    <col min="10" max="10" width="13.21875" customWidth="1"/>
    <col min="11" max="11" width="15.21875" customWidth="1"/>
    <col min="12" max="12" width="12.88671875" customWidth="1"/>
    <col min="13" max="13" width="12.6640625" customWidth="1"/>
    <col min="14" max="14" width="21.6640625" customWidth="1"/>
    <col min="15" max="15" width="14.21875" customWidth="1"/>
    <col min="17" max="17" width="14.5546875" customWidth="1"/>
    <col min="18" max="18" width="11.33203125" customWidth="1"/>
    <col min="19" max="19" width="27.109375" customWidth="1"/>
    <col min="20" max="20" width="23.109375" customWidth="1"/>
    <col min="21" max="21" width="11.77734375" bestFit="1" customWidth="1"/>
    <col min="25" max="25" width="20.44140625" customWidth="1"/>
    <col min="29" max="29" width="10.33203125" customWidth="1"/>
    <col min="30" max="30" width="10.21875" bestFit="1" customWidth="1"/>
    <col min="33" max="33" width="12.88671875" customWidth="1"/>
    <col min="34" max="34" width="16.77734375" customWidth="1"/>
    <col min="35" max="35" width="22.21875" customWidth="1"/>
    <col min="36" max="36" width="10.6640625" customWidth="1"/>
  </cols>
  <sheetData>
    <row r="1" spans="1:36" x14ac:dyDescent="0.3">
      <c r="A1" s="24" t="s">
        <v>85</v>
      </c>
      <c r="B1" s="24" t="s">
        <v>86</v>
      </c>
      <c r="C1" s="24" t="s">
        <v>93</v>
      </c>
      <c r="D1" s="24" t="s">
        <v>94</v>
      </c>
      <c r="E1" s="24"/>
      <c r="F1" s="24" t="s">
        <v>85</v>
      </c>
      <c r="G1" s="24" t="s">
        <v>95</v>
      </c>
      <c r="H1" s="24" t="s">
        <v>96</v>
      </c>
      <c r="I1" s="24" t="s">
        <v>97</v>
      </c>
      <c r="J1" s="24" t="s">
        <v>98</v>
      </c>
      <c r="K1" s="24" t="s">
        <v>99</v>
      </c>
      <c r="L1" s="24" t="s">
        <v>85</v>
      </c>
      <c r="M1" s="24" t="s">
        <v>95</v>
      </c>
      <c r="N1" s="24" t="s">
        <v>100</v>
      </c>
      <c r="O1" s="24" t="s">
        <v>97</v>
      </c>
      <c r="P1" s="24" t="s">
        <v>101</v>
      </c>
      <c r="Q1" s="24" t="s">
        <v>98</v>
      </c>
      <c r="R1" s="24"/>
      <c r="S1" s="4" t="s">
        <v>102</v>
      </c>
      <c r="T1" s="31" t="s">
        <v>103</v>
      </c>
      <c r="U1" s="31" t="s">
        <v>99</v>
      </c>
      <c r="Y1" s="33" t="s">
        <v>104</v>
      </c>
      <c r="Z1" s="33" t="s">
        <v>7</v>
      </c>
      <c r="AA1" s="24" t="s">
        <v>105</v>
      </c>
      <c r="AB1" s="24" t="s">
        <v>106</v>
      </c>
      <c r="AC1" s="24" t="s">
        <v>107</v>
      </c>
      <c r="AD1" s="24" t="s">
        <v>108</v>
      </c>
      <c r="AF1" s="4" t="s">
        <v>85</v>
      </c>
      <c r="AG1" s="31" t="s">
        <v>95</v>
      </c>
      <c r="AH1" s="31" t="s">
        <v>109</v>
      </c>
      <c r="AI1" s="31" t="s">
        <v>100</v>
      </c>
      <c r="AJ1" s="31" t="s">
        <v>108</v>
      </c>
    </row>
    <row r="2" spans="1:36" x14ac:dyDescent="0.3">
      <c r="A2" s="22" t="s">
        <v>48</v>
      </c>
      <c r="B2" t="s">
        <v>62</v>
      </c>
      <c r="E2" s="27"/>
      <c r="F2" s="27" t="s">
        <v>50</v>
      </c>
      <c r="G2" s="28">
        <v>14800</v>
      </c>
      <c r="L2" s="27" t="s">
        <v>50</v>
      </c>
      <c r="M2" s="28">
        <v>14800</v>
      </c>
      <c r="N2" s="10">
        <f>M2</f>
        <v>14800</v>
      </c>
      <c r="P2">
        <v>0.3</v>
      </c>
      <c r="S2" t="s">
        <v>96</v>
      </c>
      <c r="T2" s="32">
        <v>29750</v>
      </c>
      <c r="U2" s="30">
        <f>K15</f>
        <v>3113.0415931804819</v>
      </c>
      <c r="Y2" s="1">
        <v>1</v>
      </c>
      <c r="Z2" s="1">
        <v>14800</v>
      </c>
      <c r="AA2">
        <f>SLOPE(Z2:Z13,Y2:Y13)</f>
        <v>1399.4755244755245</v>
      </c>
      <c r="AB2">
        <f>INTERCEPT(Z2:Z13,Y2:Y13)</f>
        <v>14072.575757575758</v>
      </c>
      <c r="AC2">
        <f>RSQ(Z2:Z13,Y2:Y13)</f>
        <v>0.96513277897487038</v>
      </c>
      <c r="AD2">
        <f>$AC$2+$AB$2*R2</f>
        <v>0.96513277897487038</v>
      </c>
      <c r="AF2" s="1" t="s">
        <v>50</v>
      </c>
      <c r="AG2" s="30">
        <v>14800</v>
      </c>
      <c r="AH2" s="30"/>
      <c r="AI2">
        <f>N2</f>
        <v>14800</v>
      </c>
      <c r="AJ2">
        <f>$AC$2+$AB$2*X2</f>
        <v>0.96513277897487038</v>
      </c>
    </row>
    <row r="3" spans="1:36" x14ac:dyDescent="0.3">
      <c r="A3" s="23" t="s">
        <v>50</v>
      </c>
      <c r="B3" s="10">
        <v>5500</v>
      </c>
      <c r="E3" s="27"/>
      <c r="F3" s="27" t="s">
        <v>51</v>
      </c>
      <c r="G3" s="28">
        <v>18600</v>
      </c>
      <c r="L3" s="27" t="s">
        <v>51</v>
      </c>
      <c r="M3" s="28">
        <v>18600</v>
      </c>
      <c r="N3">
        <f>$P$2*M2+(1-$P$2)*N2</f>
        <v>14800</v>
      </c>
      <c r="O3" s="10">
        <f>M3-N3</f>
        <v>3800</v>
      </c>
      <c r="Q3">
        <f>ABS(O3)</f>
        <v>3800</v>
      </c>
      <c r="S3" s="1" t="s">
        <v>100</v>
      </c>
      <c r="T3" s="30">
        <v>27819.35</v>
      </c>
      <c r="U3" s="30">
        <f>Q15</f>
        <v>3945.2563704890927</v>
      </c>
      <c r="Y3" s="1">
        <v>2</v>
      </c>
      <c r="Z3" s="1">
        <v>18600</v>
      </c>
      <c r="AD3">
        <f>$AC$2+$AB$2*R3</f>
        <v>0.96513277897487038</v>
      </c>
      <c r="AF3" s="1" t="s">
        <v>51</v>
      </c>
      <c r="AG3" s="30">
        <v>18600</v>
      </c>
      <c r="AH3" s="30"/>
      <c r="AI3">
        <f>N3</f>
        <v>14800</v>
      </c>
      <c r="AJ3">
        <f>$AC$2+$AB$2*X3</f>
        <v>0.96513277897487038</v>
      </c>
    </row>
    <row r="4" spans="1:36" x14ac:dyDescent="0.3">
      <c r="A4" s="23" t="s">
        <v>51</v>
      </c>
      <c r="B4" s="10">
        <v>7500</v>
      </c>
      <c r="C4" s="10">
        <f>B4-B3</f>
        <v>2000</v>
      </c>
      <c r="D4" s="26">
        <f>(B4-B3)/B3</f>
        <v>0.36363636363636365</v>
      </c>
      <c r="E4" s="27"/>
      <c r="F4" s="27" t="s">
        <v>52</v>
      </c>
      <c r="G4" s="28">
        <v>17980</v>
      </c>
      <c r="L4" s="27" t="s">
        <v>52</v>
      </c>
      <c r="M4" s="28">
        <v>17980</v>
      </c>
      <c r="N4">
        <f t="shared" ref="N4:N13" si="0">$P$2*M3+(1-$P$2)*N3</f>
        <v>15940</v>
      </c>
      <c r="O4" s="10">
        <f t="shared" ref="O4:O13" si="1">M4-N4</f>
        <v>2040</v>
      </c>
      <c r="Q4">
        <f t="shared" ref="Q4:Q13" si="2">ABS(O4)</f>
        <v>2040</v>
      </c>
      <c r="Y4" s="1">
        <v>3</v>
      </c>
      <c r="Z4" s="1">
        <v>17980</v>
      </c>
      <c r="AD4">
        <f t="shared" ref="AD4:AD13" si="3">$AC$2+$AB$2*R4</f>
        <v>0.96513277897487038</v>
      </c>
      <c r="AF4" s="1" t="s">
        <v>52</v>
      </c>
      <c r="AG4" s="30">
        <v>17980</v>
      </c>
      <c r="AH4" s="30"/>
      <c r="AI4">
        <f>N4</f>
        <v>15940</v>
      </c>
      <c r="AJ4">
        <f t="shared" ref="AJ4:AJ13" si="4">$AC$2+$AB$2*X4</f>
        <v>0.96513277897487038</v>
      </c>
    </row>
    <row r="5" spans="1:36" x14ac:dyDescent="0.3">
      <c r="A5" s="23" t="s">
        <v>52</v>
      </c>
      <c r="B5" s="10">
        <v>6250</v>
      </c>
      <c r="C5" s="10">
        <f>B5-B4</f>
        <v>-1250</v>
      </c>
      <c r="D5" s="26">
        <f>(B5-B4)/B4</f>
        <v>-0.16666666666666666</v>
      </c>
      <c r="E5" s="27"/>
      <c r="F5" s="27" t="s">
        <v>53</v>
      </c>
      <c r="G5" s="28">
        <v>20850</v>
      </c>
      <c r="H5" s="10">
        <f>AVERAGE(G2:G4)</f>
        <v>17126.666666666668</v>
      </c>
      <c r="I5" s="10">
        <f>G5-H5</f>
        <v>3723.3333333333321</v>
      </c>
      <c r="J5">
        <f>ABS(I5)</f>
        <v>3723.3333333333321</v>
      </c>
      <c r="K5">
        <f>AVERAGE(J5:J13)</f>
        <v>2817.037037037037</v>
      </c>
      <c r="L5" s="27" t="s">
        <v>53</v>
      </c>
      <c r="M5" s="28">
        <v>20850</v>
      </c>
      <c r="N5">
        <f t="shared" si="0"/>
        <v>16552</v>
      </c>
      <c r="O5" s="10">
        <f t="shared" si="1"/>
        <v>4298</v>
      </c>
      <c r="Q5">
        <f t="shared" si="2"/>
        <v>4298</v>
      </c>
      <c r="Y5" s="1">
        <v>4</v>
      </c>
      <c r="Z5" s="1">
        <v>20850</v>
      </c>
      <c r="AD5">
        <f t="shared" si="3"/>
        <v>0.96513277897487038</v>
      </c>
      <c r="AF5" s="1" t="s">
        <v>53</v>
      </c>
      <c r="AG5" s="30">
        <v>20850</v>
      </c>
      <c r="AH5">
        <f>AVERAGE(AG2:AG4)</f>
        <v>17126.666666666668</v>
      </c>
      <c r="AI5">
        <f>N5</f>
        <v>16552</v>
      </c>
      <c r="AJ5">
        <f t="shared" si="4"/>
        <v>0.96513277897487038</v>
      </c>
    </row>
    <row r="6" spans="1:36" x14ac:dyDescent="0.3">
      <c r="A6" s="23" t="s">
        <v>53</v>
      </c>
      <c r="B6" s="10">
        <v>7900</v>
      </c>
      <c r="C6" s="10">
        <f>B6-B5</f>
        <v>1650</v>
      </c>
      <c r="D6" s="26">
        <f t="shared" ref="D6:D14" si="5">(B6-B5)/B5</f>
        <v>0.26400000000000001</v>
      </c>
      <c r="E6" s="27"/>
      <c r="F6" s="27" t="s">
        <v>54</v>
      </c>
      <c r="G6" s="28">
        <v>20400</v>
      </c>
      <c r="H6" s="10">
        <f t="shared" ref="H6:H13" si="6">AVERAGE(G3:G5)</f>
        <v>19143.333333333332</v>
      </c>
      <c r="I6" s="10">
        <f t="shared" ref="I6:I13" si="7">G6-H6</f>
        <v>1256.6666666666679</v>
      </c>
      <c r="J6">
        <f t="shared" ref="J6:J13" si="8">ABS(I6)</f>
        <v>1256.6666666666679</v>
      </c>
      <c r="K6">
        <f t="shared" ref="K6:K13" si="9">AVERAGE(J6:J14)</f>
        <v>2703.75</v>
      </c>
      <c r="L6" s="27" t="s">
        <v>54</v>
      </c>
      <c r="M6" s="28">
        <v>20400</v>
      </c>
      <c r="N6">
        <f t="shared" si="0"/>
        <v>17841.400000000001</v>
      </c>
      <c r="O6" s="10">
        <f t="shared" si="1"/>
        <v>2558.5999999999985</v>
      </c>
      <c r="Q6">
        <f t="shared" si="2"/>
        <v>2558.5999999999985</v>
      </c>
      <c r="T6" s="1" t="s">
        <v>96</v>
      </c>
      <c r="Y6" s="1">
        <v>5</v>
      </c>
      <c r="Z6" s="1">
        <v>20400</v>
      </c>
      <c r="AD6">
        <f t="shared" si="3"/>
        <v>0.96513277897487038</v>
      </c>
      <c r="AF6" s="1" t="s">
        <v>54</v>
      </c>
      <c r="AG6" s="30">
        <v>20400</v>
      </c>
      <c r="AH6">
        <f t="shared" ref="AH6:AH13" si="10">AVERAGE(AG3:AG5)</f>
        <v>19143.333333333332</v>
      </c>
      <c r="AI6">
        <f t="shared" ref="AI6:AI13" si="11">$P$2*AH5+(1-$P$2)*AI5</f>
        <v>16724.400000000001</v>
      </c>
      <c r="AJ6">
        <f t="shared" si="4"/>
        <v>0.96513277897487038</v>
      </c>
    </row>
    <row r="7" spans="1:36" x14ac:dyDescent="0.3">
      <c r="A7" s="23" t="s">
        <v>54</v>
      </c>
      <c r="B7" s="10">
        <v>8500</v>
      </c>
      <c r="C7" s="10">
        <f t="shared" ref="C7:C14" si="12">B7-B6</f>
        <v>600</v>
      </c>
      <c r="D7" s="26">
        <f t="shared" si="5"/>
        <v>7.5949367088607597E-2</v>
      </c>
      <c r="E7" s="27"/>
      <c r="F7" s="27" t="s">
        <v>55</v>
      </c>
      <c r="G7" s="28">
        <v>20430</v>
      </c>
      <c r="H7" s="10">
        <f t="shared" si="6"/>
        <v>19743.333333333332</v>
      </c>
      <c r="I7" s="10">
        <f t="shared" si="7"/>
        <v>686.66666666666788</v>
      </c>
      <c r="J7">
        <f t="shared" si="8"/>
        <v>686.66666666666788</v>
      </c>
      <c r="K7">
        <f t="shared" si="9"/>
        <v>2910.4761904761904</v>
      </c>
      <c r="L7" s="27" t="s">
        <v>55</v>
      </c>
      <c r="M7" s="28">
        <v>20430</v>
      </c>
      <c r="N7">
        <f t="shared" si="0"/>
        <v>18608.98</v>
      </c>
      <c r="O7" s="10">
        <f t="shared" si="1"/>
        <v>1821.0200000000004</v>
      </c>
      <c r="Q7">
        <f t="shared" si="2"/>
        <v>1821.0200000000004</v>
      </c>
      <c r="Y7" s="1">
        <v>6</v>
      </c>
      <c r="Z7" s="1">
        <v>20430</v>
      </c>
      <c r="AD7">
        <f>$AC$2+$AB$2*R7</f>
        <v>0.96513277897487038</v>
      </c>
      <c r="AF7" s="1" t="s">
        <v>55</v>
      </c>
      <c r="AG7" s="30">
        <v>20430</v>
      </c>
      <c r="AH7">
        <f t="shared" si="10"/>
        <v>19743.333333333332</v>
      </c>
      <c r="AI7">
        <f t="shared" si="11"/>
        <v>17450.079999999998</v>
      </c>
      <c r="AJ7">
        <f>$AC$2+$AB$2*X7</f>
        <v>0.96513277897487038</v>
      </c>
    </row>
    <row r="8" spans="1:36" x14ac:dyDescent="0.3">
      <c r="A8" s="23" t="s">
        <v>55</v>
      </c>
      <c r="B8" s="10">
        <v>7200</v>
      </c>
      <c r="C8" s="10">
        <f t="shared" si="12"/>
        <v>-1300</v>
      </c>
      <c r="D8" s="26">
        <f t="shared" si="5"/>
        <v>-0.15294117647058825</v>
      </c>
      <c r="E8" s="27"/>
      <c r="F8" s="27" t="s">
        <v>56</v>
      </c>
      <c r="G8" s="28">
        <v>24080</v>
      </c>
      <c r="H8" s="10">
        <f t="shared" si="6"/>
        <v>20560</v>
      </c>
      <c r="I8" s="10">
        <f t="shared" si="7"/>
        <v>3520</v>
      </c>
      <c r="J8">
        <f t="shared" si="8"/>
        <v>3520</v>
      </c>
      <c r="K8">
        <f t="shared" si="9"/>
        <v>3281.1111111111109</v>
      </c>
      <c r="L8" s="27" t="s">
        <v>56</v>
      </c>
      <c r="M8" s="28">
        <v>24080</v>
      </c>
      <c r="N8">
        <f t="shared" si="0"/>
        <v>19155.286</v>
      </c>
      <c r="O8" s="10">
        <f t="shared" si="1"/>
        <v>4924.7139999999999</v>
      </c>
      <c r="Q8">
        <f t="shared" si="2"/>
        <v>4924.7139999999999</v>
      </c>
      <c r="Y8" s="1">
        <v>7</v>
      </c>
      <c r="Z8" s="1">
        <v>24080</v>
      </c>
      <c r="AD8">
        <f t="shared" si="3"/>
        <v>0.96513277897487038</v>
      </c>
      <c r="AF8" s="1" t="s">
        <v>56</v>
      </c>
      <c r="AG8" s="30">
        <v>24080</v>
      </c>
      <c r="AH8">
        <f t="shared" si="10"/>
        <v>20560</v>
      </c>
      <c r="AI8">
        <f t="shared" si="11"/>
        <v>18138.055999999997</v>
      </c>
      <c r="AJ8">
        <f t="shared" si="4"/>
        <v>0.96513277897487038</v>
      </c>
    </row>
    <row r="9" spans="1:36" x14ac:dyDescent="0.3">
      <c r="A9" s="23" t="s">
        <v>56</v>
      </c>
      <c r="B9" s="10">
        <v>9050</v>
      </c>
      <c r="C9" s="10">
        <f t="shared" si="12"/>
        <v>1850</v>
      </c>
      <c r="D9" s="26">
        <f t="shared" si="5"/>
        <v>0.25694444444444442</v>
      </c>
      <c r="E9" s="27"/>
      <c r="F9" s="27" t="s">
        <v>57</v>
      </c>
      <c r="G9" s="28">
        <v>25170</v>
      </c>
      <c r="H9" s="10">
        <f t="shared" si="6"/>
        <v>21636.666666666668</v>
      </c>
      <c r="I9" s="10">
        <f t="shared" si="7"/>
        <v>3533.3333333333321</v>
      </c>
      <c r="J9">
        <f t="shared" si="8"/>
        <v>3533.3333333333321</v>
      </c>
      <c r="K9">
        <f t="shared" si="9"/>
        <v>3233.333333333333</v>
      </c>
      <c r="L9" s="27" t="s">
        <v>57</v>
      </c>
      <c r="M9" s="28">
        <v>25170</v>
      </c>
      <c r="N9">
        <f t="shared" si="0"/>
        <v>20632.700199999999</v>
      </c>
      <c r="O9" s="10">
        <f t="shared" si="1"/>
        <v>4537.2998000000007</v>
      </c>
      <c r="Q9">
        <f t="shared" si="2"/>
        <v>4537.2998000000007</v>
      </c>
      <c r="Y9" s="1">
        <v>8</v>
      </c>
      <c r="Z9" s="1">
        <v>25170</v>
      </c>
      <c r="AD9">
        <f t="shared" si="3"/>
        <v>0.96513277897487038</v>
      </c>
      <c r="AF9" s="1" t="s">
        <v>57</v>
      </c>
      <c r="AG9" s="30">
        <v>25170</v>
      </c>
      <c r="AH9">
        <f t="shared" si="10"/>
        <v>21636.666666666668</v>
      </c>
      <c r="AI9">
        <f t="shared" si="11"/>
        <v>18864.639199999998</v>
      </c>
      <c r="AJ9">
        <f t="shared" si="4"/>
        <v>0.96513277897487038</v>
      </c>
    </row>
    <row r="10" spans="1:36" x14ac:dyDescent="0.3">
      <c r="A10" s="23" t="s">
        <v>57</v>
      </c>
      <c r="B10" s="10">
        <v>9250</v>
      </c>
      <c r="C10" s="10">
        <f t="shared" si="12"/>
        <v>200</v>
      </c>
      <c r="D10" s="26">
        <f t="shared" si="5"/>
        <v>2.2099447513812154E-2</v>
      </c>
      <c r="E10" s="27"/>
      <c r="F10" s="27" t="s">
        <v>58</v>
      </c>
      <c r="G10" s="28">
        <v>26470</v>
      </c>
      <c r="H10" s="10">
        <f t="shared" si="6"/>
        <v>23226.666666666668</v>
      </c>
      <c r="I10" s="10">
        <f t="shared" si="7"/>
        <v>3243.3333333333321</v>
      </c>
      <c r="J10">
        <f t="shared" si="8"/>
        <v>3243.3333333333321</v>
      </c>
      <c r="K10">
        <f t="shared" si="9"/>
        <v>3158.333333333333</v>
      </c>
      <c r="L10" s="27" t="s">
        <v>58</v>
      </c>
      <c r="M10" s="28">
        <v>26470</v>
      </c>
      <c r="N10">
        <f t="shared" si="0"/>
        <v>21993.890139999996</v>
      </c>
      <c r="O10" s="10">
        <f t="shared" si="1"/>
        <v>4476.1098600000041</v>
      </c>
      <c r="Q10">
        <f t="shared" si="2"/>
        <v>4476.1098600000041</v>
      </c>
      <c r="Y10" s="1">
        <v>9</v>
      </c>
      <c r="Z10" s="1">
        <v>26470</v>
      </c>
      <c r="AD10">
        <f t="shared" si="3"/>
        <v>0.96513277897487038</v>
      </c>
      <c r="AF10" s="1" t="s">
        <v>58</v>
      </c>
      <c r="AG10" s="30">
        <v>26470</v>
      </c>
      <c r="AH10">
        <f t="shared" si="10"/>
        <v>23226.666666666668</v>
      </c>
      <c r="AI10">
        <f t="shared" si="11"/>
        <v>19696.247439999999</v>
      </c>
      <c r="AJ10">
        <f t="shared" si="4"/>
        <v>0.96513277897487038</v>
      </c>
    </row>
    <row r="11" spans="1:36" x14ac:dyDescent="0.3">
      <c r="A11" s="23" t="s">
        <v>58</v>
      </c>
      <c r="B11" s="10">
        <v>9850</v>
      </c>
      <c r="C11" s="10">
        <f t="shared" si="12"/>
        <v>600</v>
      </c>
      <c r="D11" s="26">
        <f t="shared" si="5"/>
        <v>6.4864864864864868E-2</v>
      </c>
      <c r="E11" s="27"/>
      <c r="F11" s="27" t="s">
        <v>59</v>
      </c>
      <c r="G11" s="28">
        <v>28050</v>
      </c>
      <c r="H11" s="10">
        <f t="shared" si="6"/>
        <v>25240</v>
      </c>
      <c r="I11" s="10">
        <f t="shared" si="7"/>
        <v>2810</v>
      </c>
      <c r="J11">
        <f t="shared" si="8"/>
        <v>2810</v>
      </c>
      <c r="K11">
        <f t="shared" si="9"/>
        <v>3130</v>
      </c>
      <c r="L11" s="27" t="s">
        <v>59</v>
      </c>
      <c r="M11" s="28">
        <v>28050</v>
      </c>
      <c r="N11">
        <f t="shared" si="0"/>
        <v>23336.723097999995</v>
      </c>
      <c r="O11" s="10">
        <f t="shared" si="1"/>
        <v>4713.2769020000051</v>
      </c>
      <c r="Q11">
        <f t="shared" si="2"/>
        <v>4713.2769020000051</v>
      </c>
      <c r="Y11" s="1">
        <v>10</v>
      </c>
      <c r="Z11" s="1">
        <v>28050</v>
      </c>
      <c r="AD11">
        <f t="shared" si="3"/>
        <v>0.96513277897487038</v>
      </c>
      <c r="AF11" s="1" t="s">
        <v>59</v>
      </c>
      <c r="AG11" s="30">
        <v>28050</v>
      </c>
      <c r="AH11">
        <f t="shared" si="10"/>
        <v>25240</v>
      </c>
      <c r="AI11">
        <f t="shared" si="11"/>
        <v>20755.373207999997</v>
      </c>
      <c r="AJ11">
        <f t="shared" si="4"/>
        <v>0.96513277897487038</v>
      </c>
    </row>
    <row r="12" spans="1:36" x14ac:dyDescent="0.3">
      <c r="A12" s="23" t="s">
        <v>59</v>
      </c>
      <c r="B12" s="10">
        <v>10350</v>
      </c>
      <c r="C12" s="10">
        <f t="shared" si="12"/>
        <v>500</v>
      </c>
      <c r="D12" s="26">
        <f t="shared" si="5"/>
        <v>5.0761421319796954E-2</v>
      </c>
      <c r="E12" s="27"/>
      <c r="F12" s="27" t="s">
        <v>60</v>
      </c>
      <c r="G12" s="28">
        <v>29650</v>
      </c>
      <c r="H12" s="10">
        <f t="shared" si="6"/>
        <v>26563.333333333332</v>
      </c>
      <c r="I12" s="10">
        <f t="shared" si="7"/>
        <v>3086.6666666666679</v>
      </c>
      <c r="J12">
        <f t="shared" si="8"/>
        <v>3086.6666666666679</v>
      </c>
      <c r="K12">
        <f t="shared" si="9"/>
        <v>3290</v>
      </c>
      <c r="L12" s="27" t="s">
        <v>60</v>
      </c>
      <c r="M12" s="28">
        <v>29650</v>
      </c>
      <c r="N12">
        <f t="shared" si="0"/>
        <v>24750.706168599994</v>
      </c>
      <c r="O12" s="10">
        <f t="shared" si="1"/>
        <v>4899.2938314000057</v>
      </c>
      <c r="Q12">
        <f t="shared" si="2"/>
        <v>4899.2938314000057</v>
      </c>
      <c r="Y12" s="1">
        <v>11</v>
      </c>
      <c r="Z12" s="1">
        <v>29650</v>
      </c>
      <c r="AD12">
        <f t="shared" si="3"/>
        <v>0.96513277897487038</v>
      </c>
      <c r="AF12" s="1" t="s">
        <v>60</v>
      </c>
      <c r="AG12" s="30">
        <v>29650</v>
      </c>
      <c r="AH12">
        <f t="shared" si="10"/>
        <v>26563.333333333332</v>
      </c>
      <c r="AI12">
        <f t="shared" si="11"/>
        <v>22100.761245599999</v>
      </c>
      <c r="AJ12">
        <f t="shared" si="4"/>
        <v>0.96513277897487038</v>
      </c>
    </row>
    <row r="13" spans="1:36" x14ac:dyDescent="0.3">
      <c r="A13" s="23" t="s">
        <v>60</v>
      </c>
      <c r="B13" s="10">
        <v>10950</v>
      </c>
      <c r="C13" s="10">
        <f t="shared" si="12"/>
        <v>600</v>
      </c>
      <c r="D13" s="26">
        <f t="shared" si="5"/>
        <v>5.7971014492753624E-2</v>
      </c>
      <c r="E13" s="27"/>
      <c r="F13" s="27" t="s">
        <v>61</v>
      </c>
      <c r="G13" s="28">
        <v>31550</v>
      </c>
      <c r="H13" s="10">
        <f t="shared" si="6"/>
        <v>28056.666666666668</v>
      </c>
      <c r="I13" s="10">
        <f t="shared" si="7"/>
        <v>3493.3333333333321</v>
      </c>
      <c r="J13">
        <f t="shared" si="8"/>
        <v>3493.3333333333321</v>
      </c>
      <c r="K13">
        <f t="shared" si="9"/>
        <v>3493.3333333333321</v>
      </c>
      <c r="L13" s="27" t="s">
        <v>61</v>
      </c>
      <c r="M13" s="28">
        <v>31550</v>
      </c>
      <c r="N13">
        <f t="shared" si="0"/>
        <v>26220.494318019995</v>
      </c>
      <c r="O13" s="10">
        <f t="shared" si="1"/>
        <v>5329.5056819800047</v>
      </c>
      <c r="Q13">
        <f t="shared" si="2"/>
        <v>5329.5056819800047</v>
      </c>
      <c r="Y13" s="1">
        <v>12</v>
      </c>
      <c r="Z13" s="1">
        <v>31550</v>
      </c>
      <c r="AD13">
        <f t="shared" si="3"/>
        <v>0.96513277897487038</v>
      </c>
      <c r="AF13" s="1" t="s">
        <v>61</v>
      </c>
      <c r="AG13" s="30">
        <v>31550</v>
      </c>
      <c r="AH13">
        <f t="shared" si="10"/>
        <v>28056.666666666668</v>
      </c>
      <c r="AI13">
        <f t="shared" si="11"/>
        <v>23439.532871919997</v>
      </c>
      <c r="AJ13">
        <f t="shared" si="4"/>
        <v>0.96513277897487038</v>
      </c>
    </row>
    <row r="14" spans="1:36" x14ac:dyDescent="0.3">
      <c r="A14" s="23" t="s">
        <v>61</v>
      </c>
      <c r="B14" s="10">
        <v>11650</v>
      </c>
      <c r="C14" s="10">
        <f t="shared" si="12"/>
        <v>700</v>
      </c>
      <c r="D14" s="26">
        <f t="shared" si="5"/>
        <v>6.3926940639269403E-2</v>
      </c>
      <c r="F14" s="29">
        <v>46023</v>
      </c>
      <c r="H14" s="10">
        <f>AVERAGE(G11:G13)</f>
        <v>29750</v>
      </c>
      <c r="L14" s="29">
        <v>46023</v>
      </c>
      <c r="M14" s="10"/>
      <c r="N14" s="10">
        <f>$P$2*M13+(1-$P$2)*N13</f>
        <v>27819.346022613994</v>
      </c>
      <c r="Y14">
        <v>13</v>
      </c>
      <c r="Z14">
        <f>$AC$2+$AB$2*Y14</f>
        <v>182944.44998126384</v>
      </c>
      <c r="AD14">
        <f>$AC$2+$AB$2*R14</f>
        <v>0.96513277897487038</v>
      </c>
      <c r="AF14" s="34">
        <v>46023</v>
      </c>
      <c r="AG14" s="30" t="s">
        <v>110</v>
      </c>
      <c r="AH14">
        <f>AVERAGE(AG11:AG13)</f>
        <v>29750</v>
      </c>
      <c r="AI14">
        <f>$P$2*AH13+(1-$P$2)*AI13</f>
        <v>24824.673010343999</v>
      </c>
      <c r="AJ14">
        <f>$AC$2+$AB$2*X14</f>
        <v>0.96513277897487038</v>
      </c>
    </row>
    <row r="15" spans="1:36" x14ac:dyDescent="0.3">
      <c r="A15" s="23" t="s">
        <v>49</v>
      </c>
      <c r="B15" s="10">
        <v>103950</v>
      </c>
      <c r="C15" s="10"/>
      <c r="K15">
        <f>AVERAGE(K5:K13)</f>
        <v>3113.0415931804819</v>
      </c>
      <c r="P15" s="24" t="s">
        <v>99</v>
      </c>
      <c r="Q15">
        <f>AVERAGE(Q3:Q13)</f>
        <v>3945.2563704890927</v>
      </c>
    </row>
    <row r="16" spans="1:36" x14ac:dyDescent="0.3">
      <c r="C16" s="10"/>
    </row>
    <row r="17" spans="1:2" x14ac:dyDescent="0.3">
      <c r="A17" s="24" t="s">
        <v>87</v>
      </c>
      <c r="B17" s="10">
        <f>AVERAGE(B3:B14)</f>
        <v>8662.5</v>
      </c>
    </row>
    <row r="18" spans="1:2" x14ac:dyDescent="0.3">
      <c r="A18" s="24" t="s">
        <v>88</v>
      </c>
      <c r="B18" s="10">
        <f>MAX(B3:B14)</f>
        <v>11650</v>
      </c>
    </row>
    <row r="19" spans="1:2" x14ac:dyDescent="0.3">
      <c r="A19" s="24" t="s">
        <v>89</v>
      </c>
      <c r="B19" s="10">
        <f>MIN(B3:B14)</f>
        <v>5500</v>
      </c>
    </row>
    <row r="20" spans="1:2" x14ac:dyDescent="0.3">
      <c r="A20" s="24" t="s">
        <v>90</v>
      </c>
      <c r="B20" t="str">
        <f>INDEX(A3:A14,MATCH(MAX(B3:B14),B3:B14,0))</f>
        <v>Dec</v>
      </c>
    </row>
    <row r="21" spans="1:2" x14ac:dyDescent="0.3">
      <c r="A21" s="24" t="s">
        <v>92</v>
      </c>
      <c r="B21" t="str">
        <f>INDEX(A3:A14,MATCH(MIN(B3:B14),B3:B14,0))</f>
        <v>Jan</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1D737-9DC8-40EE-985A-C1921FD60181}">
  <dimension ref="A1:E7"/>
  <sheetViews>
    <sheetView workbookViewId="0">
      <selection activeCell="F28" sqref="F28"/>
    </sheetView>
  </sheetViews>
  <sheetFormatPr defaultRowHeight="14.4" x14ac:dyDescent="0.3"/>
  <cols>
    <col min="1" max="1" width="18.21875" customWidth="1"/>
    <col min="4" max="4" width="18.44140625" customWidth="1"/>
    <col min="5" max="5" width="15.88671875" customWidth="1"/>
  </cols>
  <sheetData>
    <row r="1" spans="1:5" x14ac:dyDescent="0.3">
      <c r="A1" s="24" t="s">
        <v>111</v>
      </c>
      <c r="B1" s="24" t="s">
        <v>114</v>
      </c>
      <c r="D1" s="24" t="s">
        <v>120</v>
      </c>
      <c r="E1" s="24" t="s">
        <v>121</v>
      </c>
    </row>
    <row r="2" spans="1:5" x14ac:dyDescent="0.3">
      <c r="A2" t="s">
        <v>42</v>
      </c>
      <c r="B2">
        <f>SUM(BeautyData[Sales])</f>
        <v>278030</v>
      </c>
      <c r="D2" t="s">
        <v>122</v>
      </c>
      <c r="E2" t="str">
        <f>INDEX('Product Analysis'!A4:A10,MATCH(MAX('Product Analysis'!B4:B10),'Product Analysis'!B4:B10,0))</f>
        <v>Grand Total</v>
      </c>
    </row>
    <row r="3" spans="1:5" x14ac:dyDescent="0.3">
      <c r="A3" t="s">
        <v>47</v>
      </c>
      <c r="B3">
        <f>COUNTA(BeautyData[Order ID])</f>
        <v>120</v>
      </c>
      <c r="D3" t="s">
        <v>123</v>
      </c>
      <c r="E3" t="str">
        <f>INDEX('Pivot Tables'!D4:D9,MATCH(MAX('Pivot Tables'!E4:E9),'Pivot Tables'!E4:E9,0))</f>
        <v>Bengaluru</v>
      </c>
    </row>
    <row r="4" spans="1:5" x14ac:dyDescent="0.3">
      <c r="A4" t="s">
        <v>112</v>
      </c>
      <c r="B4">
        <f>AVERAGE(BeautyData[Sales])</f>
        <v>2316.9166666666665</v>
      </c>
      <c r="D4" t="s">
        <v>124</v>
      </c>
      <c r="E4" t="str">
        <f>INDEX('Pivot Tables'!A15:A16,MATCH(MAX('Pivot Tables'!B15:B16),'Pivot Tables'!B15:B16,0))</f>
        <v>Online</v>
      </c>
    </row>
    <row r="5" spans="1:5" x14ac:dyDescent="0.3">
      <c r="A5" t="s">
        <v>43</v>
      </c>
      <c r="B5">
        <f>SUM(BeautyData[Quantity])</f>
        <v>258</v>
      </c>
    </row>
    <row r="6" spans="1:5" x14ac:dyDescent="0.3">
      <c r="A6" t="s">
        <v>113</v>
      </c>
      <c r="B6">
        <f>AVERAGE(BeautyData[Rating])</f>
        <v>4.5525000000000011</v>
      </c>
    </row>
    <row r="7" spans="1:5" x14ac:dyDescent="0.3">
      <c r="A7" t="s">
        <v>45</v>
      </c>
      <c r="B7">
        <f>MAX(BeautyData[Sales])</f>
        <v>6000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Row Data</vt:lpstr>
      <vt:lpstr>Product Analysis</vt:lpstr>
      <vt:lpstr>Rating Analysis</vt:lpstr>
      <vt:lpstr>Cleaned Data</vt:lpstr>
      <vt:lpstr>EDA</vt:lpstr>
      <vt:lpstr>Pivot Tables</vt:lpstr>
      <vt:lpstr>EDA_2</vt:lpstr>
      <vt:lpstr>Sheet9</vt:lpstr>
      <vt:lpstr>Customer Analysis</vt:lpstr>
      <vt:lpstr>Dashboard</vt:lpstr>
      <vt:lpstr>Detail1</vt:lpstr>
      <vt:lpstr>Forecasting</vt:lpstr>
      <vt:lpstr>Dashboard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Ramyashree Nayak</dc:creator>
  <cp:lastModifiedBy>Ramyashree Nayak</cp:lastModifiedBy>
  <dcterms:created xsi:type="dcterms:W3CDTF">2026-08-26T12:00:07Z</dcterms:created>
  <dcterms:modified xsi:type="dcterms:W3CDTF">2026-09-22T17:25:38Z</dcterms:modified>
</cp:coreProperties>
</file>